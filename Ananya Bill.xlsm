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checkCompatibility="1" defaultThemeVersion="124226"/>
  <bookViews>
    <workbookView xWindow="240" yWindow="108" windowWidth="14808" windowHeight="8016" firstSheet="17" activeTab="18"/>
  </bookViews>
  <sheets>
    <sheet name="ADVAITA" sheetId="1" r:id="rId1"/>
    <sheet name="VARUN" sheetId="2" r:id="rId2"/>
    <sheet name="SHANKARLINGA" sheetId="3" r:id="rId3"/>
    <sheet name="SS BHARAT" sheetId="4" r:id="rId4"/>
    <sheet name="SVS AGENCY" sheetId="5" r:id="rId5"/>
    <sheet name="VINAYAKA BHARATGAS " sheetId="6" r:id="rId6"/>
    <sheet name="Sheet1" sheetId="47" r:id="rId7"/>
    <sheet name="BHOOMI BHARAT GAS " sheetId="7" r:id="rId8"/>
    <sheet name="KEERTHI BHARAT GAS " sheetId="8" r:id="rId9"/>
    <sheet name="MANAV ENTERPRISES " sheetId="9" r:id="rId10"/>
    <sheet name="GRE" sheetId="10" r:id="rId11"/>
    <sheet name="VENKATADRI" sheetId="11" r:id="rId12"/>
    <sheet name="UNITED" sheetId="12" r:id="rId13"/>
    <sheet name="BHAGYALAKSHMI " sheetId="13" r:id="rId14"/>
    <sheet name="SAIMANGALA" sheetId="14" r:id="rId15"/>
    <sheet name="MADAM" sheetId="15" r:id="rId16"/>
    <sheet name="VIJAY BG " sheetId="16" r:id="rId17"/>
    <sheet name="REVATHI BG " sheetId="17" r:id="rId18"/>
    <sheet name="ANMOL" sheetId="18" r:id="rId19"/>
    <sheet name="N M BHARATGAS" sheetId="19" r:id="rId20"/>
    <sheet name="SHREE RAKSHA " sheetId="20" r:id="rId21"/>
    <sheet name="PRATEEK" sheetId="21" r:id="rId22"/>
    <sheet name="MANJUNATHA " sheetId="22" r:id="rId23"/>
    <sheet name="SREE BALAJI" sheetId="23" r:id="rId24"/>
    <sheet name="JANA BHARATGAS" sheetId="24" r:id="rId25"/>
    <sheet name="LVN BG " sheetId="25" r:id="rId26"/>
    <sheet name="LAVANYA BG " sheetId="26" r:id="rId27"/>
    <sheet name="PAVANSUTHA HAREKRISHNA" sheetId="27" r:id="rId28"/>
    <sheet name="NIMISHAMBA " sheetId="28" r:id="rId29"/>
    <sheet name="MAYURA" sheetId="29" r:id="rId30"/>
    <sheet name="MAHALASA" sheetId="30" r:id="rId31"/>
    <sheet name="ANUGRAHA " sheetId="31" r:id="rId32"/>
    <sheet name="ROHAN GAS " sheetId="32" r:id="rId33"/>
    <sheet name="SURABHI BG " sheetId="33" r:id="rId34"/>
    <sheet name="SHRAVAN GAS" sheetId="34" r:id="rId35"/>
    <sheet name="PADMASHREE BG " sheetId="35" r:id="rId36"/>
    <sheet name="BANGALORE GAS " sheetId="36" r:id="rId37"/>
    <sheet name="SAI SRI BG " sheetId="37" r:id="rId38"/>
    <sheet name="KCN BG " sheetId="38" r:id="rId39"/>
    <sheet name="ISHA B G" sheetId="39" r:id="rId40"/>
    <sheet name="MAHALAKSHMI BG " sheetId="40" r:id="rId41"/>
    <sheet name="S V AGENCY " sheetId="41" r:id="rId42"/>
    <sheet name="KBN ND " sheetId="42" r:id="rId43"/>
    <sheet name="MSD " sheetId="43" r:id="rId44"/>
    <sheet name="SRUSHTI" sheetId="44" r:id="rId45"/>
    <sheet name="M D BHARATGAS" sheetId="45" r:id="rId46"/>
    <sheet name="VAMTR" sheetId="46" r:id="rId47"/>
  </sheets>
  <functionGroups builtInGroupCount="18"/>
  <definedNames>
    <definedName name="_xlnm.Print_Area" localSheetId="0">ADVAITA!$A$1:$F$43</definedName>
    <definedName name="_xlnm.Print_Area" localSheetId="18">ANMOL!$A$1:$F$39</definedName>
    <definedName name="_xlnm.Print_Area" localSheetId="31">'ANUGRAHA '!$A$1:$F$38</definedName>
    <definedName name="_xlnm.Print_Area" localSheetId="36">'BANGALORE GAS '!$A$1:$F$39</definedName>
    <definedName name="_xlnm.Print_Area" localSheetId="13">'BHAGYALAKSHMI '!$A$1:$F$39</definedName>
    <definedName name="_xlnm.Print_Area" localSheetId="7">'BHOOMI BHARAT GAS '!$A$1:$F$40</definedName>
    <definedName name="_xlnm.Print_Area" localSheetId="39">'ISHA B G'!$A$1:$F$39</definedName>
    <definedName name="_xlnm.Print_Area" localSheetId="24">'JANA BHARATGAS'!$A$1:$F$39</definedName>
    <definedName name="_xlnm.Print_Area" localSheetId="42">'KBN ND '!$A$1:$F$39</definedName>
    <definedName name="_xlnm.Print_Area" localSheetId="38">'KCN BG '!$A$1:$F$39</definedName>
    <definedName name="_xlnm.Print_Area" localSheetId="8">'KEERTHI BHARAT GAS '!$A$1:$F$39</definedName>
    <definedName name="_xlnm.Print_Area" localSheetId="26">'LAVANYA BG '!$A$1:$F$39</definedName>
    <definedName name="_xlnm.Print_Area" localSheetId="25">'LVN BG '!$A$1:$F$39</definedName>
    <definedName name="_xlnm.Print_Area" localSheetId="45">'M D BHARATGAS'!$A$1:$G$42</definedName>
    <definedName name="_xlnm.Print_Area" localSheetId="40">'MAHALAKSHMI BG '!$A$1:$F$39</definedName>
    <definedName name="_xlnm.Print_Area" localSheetId="30">MAHALASA!$A$1:$F$40</definedName>
    <definedName name="_xlnm.Print_Area" localSheetId="9">'MANAV ENTERPRISES '!$A$1:$F$39</definedName>
    <definedName name="_xlnm.Print_Area" localSheetId="22">'MANJUNATHA '!$A$1:$F$39</definedName>
    <definedName name="_xlnm.Print_Area" localSheetId="29">MAYURA!$A$1:$F$39</definedName>
    <definedName name="_xlnm.Print_Area" localSheetId="43">'MSD '!$A$1:$F$39</definedName>
    <definedName name="_xlnm.Print_Area" localSheetId="19">'N M BHARATGAS'!$A$1:$F$39</definedName>
    <definedName name="_xlnm.Print_Area" localSheetId="28">'NIMISHAMBA '!$A$1:$F$39</definedName>
    <definedName name="_xlnm.Print_Area" localSheetId="27">'PAVANSUTHA HAREKRISHNA'!$A$1:$F$39</definedName>
    <definedName name="_xlnm.Print_Area" localSheetId="21">PRATEEK!$A$1:$F$39</definedName>
    <definedName name="_xlnm.Print_Area" localSheetId="17">'REVATHI BG '!$A$1:$F$39</definedName>
    <definedName name="_xlnm.Print_Area" localSheetId="32">'ROHAN GAS '!$A$1:$F$39</definedName>
    <definedName name="_xlnm.Print_Area" localSheetId="41">'S V AGENCY '!$A$1:$F$39</definedName>
    <definedName name="_xlnm.Print_Area" localSheetId="37">'SAI SRI BG '!$A$1:$F$39</definedName>
    <definedName name="_xlnm.Print_Area" localSheetId="2">SHANKARLINGA!$A$1:$F$40</definedName>
    <definedName name="_xlnm.Print_Area" localSheetId="34">'SHRAVAN GAS'!$A$1:$F$39</definedName>
    <definedName name="_xlnm.Print_Area" localSheetId="20">'SHREE RAKSHA '!$A$1:$F$39</definedName>
    <definedName name="_xlnm.Print_Area" localSheetId="23">'SREE BALAJI'!$A$1:$F$39</definedName>
    <definedName name="_xlnm.Print_Area" localSheetId="44">SRUSHTI!$A$1:$F$39</definedName>
    <definedName name="_xlnm.Print_Area" localSheetId="3">'SS BHARAT'!$A$1:$F$39</definedName>
    <definedName name="_xlnm.Print_Area" localSheetId="33">'SURABHI BG '!$A$1:$F$39</definedName>
    <definedName name="_xlnm.Print_Area" localSheetId="4">'SVS AGENCY'!$A$1:$F$40</definedName>
    <definedName name="_xlnm.Print_Area" localSheetId="46">VAMTR!$A$1:$F$39</definedName>
    <definedName name="_xlnm.Print_Area" localSheetId="1">VARUN!$A$1:$F$39</definedName>
    <definedName name="_xlnm.Print_Area" localSheetId="11">VENKATADRI!$A$1:$F$39</definedName>
    <definedName name="_xlnm.Print_Area" localSheetId="16">'VIJAY BG '!$A$1:$F$40</definedName>
    <definedName name="_xlnm.Print_Area" localSheetId="5">'VINAYAKA BHARATGAS '!$A$1:$F$39</definedName>
  </definedNames>
  <calcPr calcId="152511"/>
</workbook>
</file>

<file path=xl/calcChain.xml><?xml version="1.0" encoding="utf-8"?>
<calcChain xmlns="http://schemas.openxmlformats.org/spreadsheetml/2006/main">
  <c r="F21" i="33" l="1"/>
  <c r="F22" i="41"/>
  <c r="F19" i="46" l="1"/>
  <c r="F20" i="46"/>
  <c r="F18" i="46"/>
  <c r="F17" i="46"/>
  <c r="F18" i="45"/>
  <c r="F17" i="45"/>
  <c r="F17" i="44"/>
  <c r="F30" i="44" s="1"/>
  <c r="F19" i="43"/>
  <c r="F20" i="43"/>
  <c r="F21" i="43"/>
  <c r="F18" i="43"/>
  <c r="F17" i="43"/>
  <c r="F18" i="42"/>
  <c r="F17" i="42"/>
  <c r="F18" i="41"/>
  <c r="F19" i="41"/>
  <c r="F20" i="41"/>
  <c r="F21" i="41"/>
  <c r="F17" i="41"/>
  <c r="F17" i="40"/>
  <c r="F30" i="40" s="1"/>
  <c r="F17" i="39"/>
  <c r="F30" i="39" s="1"/>
  <c r="F17" i="38"/>
  <c r="F30" i="38" s="1"/>
  <c r="F32" i="38" s="1"/>
  <c r="F17" i="37"/>
  <c r="F30" i="37" s="1"/>
  <c r="F18" i="36"/>
  <c r="F17" i="36"/>
  <c r="F30" i="35"/>
  <c r="F18" i="34"/>
  <c r="F17" i="34"/>
  <c r="F20" i="33"/>
  <c r="F19" i="33"/>
  <c r="F18" i="33"/>
  <c r="F17" i="33"/>
  <c r="F18" i="32"/>
  <c r="F19" i="32"/>
  <c r="F17" i="32"/>
  <c r="F17" i="31"/>
  <c r="F30" i="31" s="1"/>
  <c r="F17" i="30"/>
  <c r="F30" i="30" s="1"/>
  <c r="F17" i="29"/>
  <c r="F30" i="29" s="1"/>
  <c r="F18" i="28"/>
  <c r="F17" i="28"/>
  <c r="F17" i="27"/>
  <c r="F30" i="27" s="1"/>
  <c r="F17" i="26"/>
  <c r="F30" i="26" s="1"/>
  <c r="F17" i="25"/>
  <c r="F30" i="25" s="1"/>
  <c r="F19" i="24"/>
  <c r="F20" i="24"/>
  <c r="F21" i="24"/>
  <c r="F18" i="24"/>
  <c r="F17" i="24"/>
  <c r="F19" i="23"/>
  <c r="F18" i="23"/>
  <c r="F17" i="23"/>
  <c r="F21" i="22"/>
  <c r="F20" i="22"/>
  <c r="F19" i="22"/>
  <c r="F18" i="22"/>
  <c r="F17" i="22"/>
  <c r="F20" i="21"/>
  <c r="F21" i="21"/>
  <c r="F19" i="21"/>
  <c r="F18" i="21"/>
  <c r="F17" i="21"/>
  <c r="F19" i="20"/>
  <c r="F18" i="20"/>
  <c r="F17" i="20"/>
  <c r="F19" i="19"/>
  <c r="F18" i="19"/>
  <c r="F17" i="19"/>
  <c r="F20" i="18"/>
  <c r="F21" i="18"/>
  <c r="F22" i="18"/>
  <c r="F23" i="18"/>
  <c r="F19" i="18"/>
  <c r="F18" i="18"/>
  <c r="F17" i="18"/>
  <c r="F19" i="17"/>
  <c r="F18" i="17"/>
  <c r="F17" i="17"/>
  <c r="F18" i="16"/>
  <c r="F17" i="16"/>
  <c r="F17" i="15"/>
  <c r="F30" i="15" s="1"/>
  <c r="F17" i="14"/>
  <c r="F30" i="14" s="1"/>
  <c r="F17" i="13"/>
  <c r="F30" i="13" s="1"/>
  <c r="F30" i="18" l="1"/>
  <c r="F32" i="18" s="1"/>
  <c r="F30" i="42"/>
  <c r="F32" i="42" s="1"/>
  <c r="F30" i="46"/>
  <c r="F31" i="46" s="1"/>
  <c r="F30" i="45"/>
  <c r="F31" i="45" s="1"/>
  <c r="F32" i="44"/>
  <c r="F31" i="44"/>
  <c r="F33" i="44" s="1"/>
  <c r="F30" i="43"/>
  <c r="F31" i="43" s="1"/>
  <c r="F30" i="41"/>
  <c r="F32" i="41" s="1"/>
  <c r="F32" i="40"/>
  <c r="F31" i="40"/>
  <c r="F33" i="40" s="1"/>
  <c r="F31" i="39"/>
  <c r="F32" i="39"/>
  <c r="F31" i="38"/>
  <c r="F33" i="38" s="1"/>
  <c r="F32" i="37"/>
  <c r="F31" i="37"/>
  <c r="F30" i="36"/>
  <c r="F32" i="36" s="1"/>
  <c r="F32" i="35"/>
  <c r="F31" i="35"/>
  <c r="F30" i="34"/>
  <c r="F31" i="34" s="1"/>
  <c r="F30" i="33"/>
  <c r="F31" i="33" s="1"/>
  <c r="F30" i="32"/>
  <c r="F31" i="32" s="1"/>
  <c r="F32" i="31"/>
  <c r="F33" i="31" s="1"/>
  <c r="F31" i="31"/>
  <c r="F32" i="30"/>
  <c r="F31" i="30"/>
  <c r="F33" i="30" s="1"/>
  <c r="F31" i="29"/>
  <c r="F33" i="29" s="1"/>
  <c r="F32" i="29"/>
  <c r="F30" i="28"/>
  <c r="F31" i="28" s="1"/>
  <c r="F31" i="27"/>
  <c r="F32" i="27"/>
  <c r="F31" i="26"/>
  <c r="F32" i="26"/>
  <c r="F31" i="25"/>
  <c r="F32" i="25"/>
  <c r="F30" i="24"/>
  <c r="F31" i="24" s="1"/>
  <c r="F30" i="23"/>
  <c r="F32" i="23" s="1"/>
  <c r="F31" i="23"/>
  <c r="F30" i="22"/>
  <c r="F30" i="21"/>
  <c r="F32" i="21" s="1"/>
  <c r="F30" i="20"/>
  <c r="F31" i="20" s="1"/>
  <c r="F30" i="19"/>
  <c r="F31" i="19" s="1"/>
  <c r="F30" i="17"/>
  <c r="F31" i="17" s="1"/>
  <c r="F30" i="16"/>
  <c r="F32" i="16" s="1"/>
  <c r="F32" i="15"/>
  <c r="F31" i="15"/>
  <c r="F33" i="15" s="1"/>
  <c r="F31" i="14"/>
  <c r="F32" i="14"/>
  <c r="F32" i="13"/>
  <c r="F31" i="13"/>
  <c r="F33" i="13" s="1"/>
  <c r="F20" i="12"/>
  <c r="F19" i="12"/>
  <c r="F18" i="12"/>
  <c r="F17" i="12"/>
  <c r="F20" i="11"/>
  <c r="F21" i="11"/>
  <c r="F19" i="11"/>
  <c r="F18" i="11"/>
  <c r="F17" i="11"/>
  <c r="F19" i="10"/>
  <c r="F18" i="10"/>
  <c r="F17" i="10"/>
  <c r="F18" i="9"/>
  <c r="F17" i="9"/>
  <c r="F18" i="8"/>
  <c r="F17" i="8"/>
  <c r="F19" i="7"/>
  <c r="F18" i="7"/>
  <c r="F17" i="7"/>
  <c r="F18" i="6"/>
  <c r="F17" i="6"/>
  <c r="F19" i="5"/>
  <c r="F20" i="5"/>
  <c r="F21" i="5"/>
  <c r="F18" i="5"/>
  <c r="F17" i="5"/>
  <c r="F18" i="4"/>
  <c r="F17" i="4"/>
  <c r="F17" i="3"/>
  <c r="F30" i="3" s="1"/>
  <c r="F17" i="2"/>
  <c r="F30" i="2" s="1"/>
  <c r="A34" i="30"/>
  <c r="A34" i="44"/>
  <c r="A34" i="29"/>
  <c r="A34" i="31"/>
  <c r="A34" i="15"/>
  <c r="A34" i="38"/>
  <c r="A34" i="40"/>
  <c r="A34" i="13"/>
  <c r="F31" i="42" l="1"/>
  <c r="F33" i="42" s="1"/>
  <c r="F31" i="16"/>
  <c r="F32" i="32"/>
  <c r="F33" i="26"/>
  <c r="F33" i="25"/>
  <c r="F30" i="8"/>
  <c r="F30" i="5"/>
  <c r="F33" i="39"/>
  <c r="F30" i="4"/>
  <c r="F32" i="4" s="1"/>
  <c r="F33" i="14"/>
  <c r="F32" i="45"/>
  <c r="F33" i="45"/>
  <c r="F32" i="46"/>
  <c r="F33" i="46" s="1"/>
  <c r="F32" i="43"/>
  <c r="F33" i="43" s="1"/>
  <c r="F31" i="41"/>
  <c r="F33" i="41" s="1"/>
  <c r="F33" i="37"/>
  <c r="F31" i="36"/>
  <c r="F33" i="36" s="1"/>
  <c r="F33" i="35"/>
  <c r="F32" i="34"/>
  <c r="F33" i="34" s="1"/>
  <c r="F32" i="33"/>
  <c r="F33" i="33" s="1"/>
  <c r="F33" i="32"/>
  <c r="F32" i="28"/>
  <c r="F33" i="28"/>
  <c r="F33" i="27"/>
  <c r="F32" i="24"/>
  <c r="F33" i="24" s="1"/>
  <c r="F33" i="23"/>
  <c r="F31" i="22"/>
  <c r="F32" i="22"/>
  <c r="F31" i="21"/>
  <c r="F33" i="21" s="1"/>
  <c r="F32" i="20"/>
  <c r="F33" i="20" s="1"/>
  <c r="F32" i="19"/>
  <c r="F33" i="19"/>
  <c r="F31" i="18"/>
  <c r="F33" i="18" s="1"/>
  <c r="F32" i="17"/>
  <c r="F33" i="17" s="1"/>
  <c r="F33" i="16"/>
  <c r="F30" i="12"/>
  <c r="F31" i="12" s="1"/>
  <c r="F30" i="11"/>
  <c r="F31" i="11" s="1"/>
  <c r="F30" i="10"/>
  <c r="F31" i="10" s="1"/>
  <c r="F30" i="9"/>
  <c r="F32" i="9" s="1"/>
  <c r="F31" i="8"/>
  <c r="F32" i="8"/>
  <c r="F30" i="7"/>
  <c r="F31" i="7" s="1"/>
  <c r="F32" i="7"/>
  <c r="F30" i="6"/>
  <c r="F31" i="6" s="1"/>
  <c r="F31" i="5"/>
  <c r="F32" i="3"/>
  <c r="F31" i="3"/>
  <c r="F33" i="3" s="1"/>
  <c r="F32" i="2"/>
  <c r="F33" i="2" s="1"/>
  <c r="F31" i="2"/>
  <c r="F17" i="1"/>
  <c r="F30" i="1" s="1"/>
  <c r="A34" i="2"/>
  <c r="A34" i="35"/>
  <c r="A34" i="27"/>
  <c r="A34" i="21"/>
  <c r="A34" i="45"/>
  <c r="A34" i="18"/>
  <c r="A34" i="46"/>
  <c r="A34" i="43"/>
  <c r="A34" i="42"/>
  <c r="A34" i="28"/>
  <c r="A34" i="23"/>
  <c r="A34" i="24"/>
  <c r="A34" i="16"/>
  <c r="A34" i="32"/>
  <c r="A34" i="17"/>
  <c r="A34" i="33"/>
  <c r="A34" i="20"/>
  <c r="A34" i="34"/>
  <c r="A34" i="26"/>
  <c r="A34" i="25"/>
  <c r="A34" i="36"/>
  <c r="A34" i="19"/>
  <c r="A34" i="37"/>
  <c r="A34" i="39"/>
  <c r="A34" i="3"/>
  <c r="A34" i="14"/>
  <c r="A34" i="41"/>
  <c r="F31" i="4" l="1"/>
  <c r="F33" i="4"/>
  <c r="F33" i="22"/>
  <c r="F32" i="12"/>
  <c r="F33" i="12" s="1"/>
  <c r="F32" i="11"/>
  <c r="F33" i="11" s="1"/>
  <c r="F32" i="10"/>
  <c r="F33" i="10" s="1"/>
  <c r="F31" i="9"/>
  <c r="F33" i="9" s="1"/>
  <c r="F33" i="8"/>
  <c r="F33" i="7"/>
  <c r="F32" i="6"/>
  <c r="F33" i="6"/>
  <c r="F32" i="5"/>
  <c r="F33" i="5" s="1"/>
  <c r="F31" i="1"/>
  <c r="F32" i="1"/>
  <c r="A34" i="10"/>
  <c r="A34" i="9"/>
  <c r="A34" i="22"/>
  <c r="A34" i="8"/>
  <c r="A34" i="7"/>
  <c r="A34" i="6"/>
  <c r="A34" i="5"/>
  <c r="A34" i="4"/>
  <c r="A34" i="12"/>
  <c r="A34" i="11"/>
  <c r="F33" i="1" l="1"/>
  <c r="A34" i="1"/>
</calcChain>
</file>

<file path=xl/sharedStrings.xml><?xml version="1.0" encoding="utf-8"?>
<sst xmlns="http://schemas.openxmlformats.org/spreadsheetml/2006/main" count="1519" uniqueCount="344">
  <si>
    <t>TO</t>
  </si>
  <si>
    <t>DATE:</t>
  </si>
  <si>
    <t>ADVAITH BHARAT GAS</t>
  </si>
  <si>
    <t>PAN NO</t>
  </si>
  <si>
    <t>ADGPH7087R</t>
  </si>
  <si>
    <t>No.22, KENGERI HONLI, MYSORE ROAD,</t>
  </si>
  <si>
    <t>VENDOR CODE</t>
  </si>
  <si>
    <t>PANTHRAPALYA, NAYANDHALLI POST,</t>
  </si>
  <si>
    <t>GST NO</t>
  </si>
  <si>
    <t>29ADGPH7087R2ZJ</t>
  </si>
  <si>
    <t>BANGALORE URBAN KARNATAKA-560039</t>
  </si>
  <si>
    <t>INVOICE NO</t>
  </si>
  <si>
    <t>GSTIN – 29ABBFA7595A1ZF</t>
  </si>
  <si>
    <t>SL NO</t>
  </si>
  <si>
    <t>HSN/SAC</t>
  </si>
  <si>
    <t>TOTAL LOADS</t>
  </si>
  <si>
    <t>TOTAL AMOUNT</t>
  </si>
  <si>
    <t>TOTAL</t>
  </si>
  <si>
    <t>SGST -9%</t>
  </si>
  <si>
    <t>GRAND TOTAL</t>
  </si>
  <si>
    <t>ITEM DESCRIPTION VEHICLE NO</t>
  </si>
  <si>
    <t xml:space="preserve">PER/LOAD AMOUNT </t>
  </si>
  <si>
    <t>CGST ¬- 9%</t>
  </si>
  <si>
    <t>KA 19 D 5917</t>
  </si>
  <si>
    <r>
      <t>No. 10,1</t>
    </r>
    <r>
      <rPr>
        <vertAlign val="superscript"/>
        <sz val="10"/>
        <color rgb="FF002060"/>
        <rFont val="Times New Roman"/>
        <family val="1"/>
      </rPr>
      <t>st</t>
    </r>
    <r>
      <rPr>
        <sz val="10"/>
        <color rgb="FF002060"/>
        <rFont val="Times New Roman"/>
        <family val="1"/>
      </rPr>
      <t xml:space="preserve"> Floor,4</t>
    </r>
    <r>
      <rPr>
        <vertAlign val="superscript"/>
        <sz val="10"/>
        <color rgb="FF002060"/>
        <rFont val="Times New Roman"/>
        <family val="1"/>
      </rPr>
      <t>th</t>
    </r>
    <r>
      <rPr>
        <sz val="10"/>
        <color rgb="FF002060"/>
        <rFont val="Times New Roman"/>
        <family val="1"/>
      </rPr>
      <t xml:space="preserve"> ‘E’ 1</t>
    </r>
    <r>
      <rPr>
        <vertAlign val="superscript"/>
        <sz val="10"/>
        <color rgb="FF002060"/>
        <rFont val="Times New Roman"/>
        <family val="1"/>
      </rPr>
      <t xml:space="preserve">st </t>
    </r>
    <r>
      <rPr>
        <sz val="10"/>
        <color rgb="FF1F497D"/>
        <rFont val="Times New Roman"/>
        <family val="1"/>
      </rPr>
      <t xml:space="preserve">Cross,Magadi Main Road,Vrushabavathi nagara,Kamakshipalya,Banglore – 560079.  </t>
    </r>
  </si>
  <si>
    <r>
      <t>Email:</t>
    </r>
    <r>
      <rPr>
        <b/>
        <sz val="12"/>
        <color rgb="FFC0504D"/>
        <rFont val="Times New Roman"/>
        <family val="1"/>
      </rPr>
      <t>ananyaenterprise347@gmail.com</t>
    </r>
    <r>
      <rPr>
        <sz val="12"/>
        <color rgb="FFC0504D"/>
        <rFont val="Times New Roman"/>
        <family val="1"/>
      </rPr>
      <t xml:space="preserve">            Mob: </t>
    </r>
    <r>
      <rPr>
        <b/>
        <sz val="12"/>
        <color rgb="FFC0504D"/>
        <rFont val="Times New Roman"/>
        <family val="1"/>
      </rPr>
      <t>9141844840,9880183840,7353306462</t>
    </r>
  </si>
  <si>
    <t>ANANYA ENTERPRISES</t>
  </si>
  <si>
    <t>LPG CYLINDER LOADING AND UNLOADING CHARGES FOR THE MONTH JUNE 2026</t>
  </si>
  <si>
    <t>VARUN BHARATGAS GRAMIN VITARAK</t>
  </si>
  <si>
    <t>AKKIRAMPURA</t>
  </si>
  <si>
    <t>GSTIN – 29ARCPK7387F1ZE</t>
  </si>
  <si>
    <t>KA-19-D-7817</t>
  </si>
  <si>
    <t>SHANKARALINGA BHARAT GAS</t>
  </si>
  <si>
    <t xml:space="preserve">NEAR CCG SCHOOL, N H 4 ROAD </t>
  </si>
  <si>
    <t>SHIVAGANGA CIRCLE, DOBBASPET</t>
  </si>
  <si>
    <t>NELAMANGALA BANGALORE RURAL - 29</t>
  </si>
  <si>
    <t>GSTIN – 29AAPFV0789A1ZS</t>
  </si>
  <si>
    <t>KA-02-AH-7355</t>
  </si>
  <si>
    <t>S S BHARAT GAS AGENCY</t>
  </si>
  <si>
    <t xml:space="preserve">NO E 952, 54/329, 2ND MAIN ROAD </t>
  </si>
  <si>
    <t>BELLANDUR BANGALORE - 560029</t>
  </si>
  <si>
    <t>GSTIN – 29ACSFS2959J1Z5</t>
  </si>
  <si>
    <t>KA-01-AG-6161</t>
  </si>
  <si>
    <t>KA-01-AF-923</t>
  </si>
  <si>
    <t>SVS BHARAT GAS</t>
  </si>
  <si>
    <t>KH NO 273/272/3548/17.618 PRASANTH NAGAR</t>
  </si>
  <si>
    <t>DEVANAHALLI(T) BANGALORE RURAL - 562110</t>
  </si>
  <si>
    <t xml:space="preserve">GSTIN – 29AGQPY9505L1Z8 </t>
  </si>
  <si>
    <t>KA-43-A-2137</t>
  </si>
  <si>
    <t>KA-43-9666</t>
  </si>
  <si>
    <t>KA-43-A-3811</t>
  </si>
  <si>
    <t>KA-43-A-3181(Hippo12)</t>
  </si>
  <si>
    <t>KA-43-A-2137(HIPPO)</t>
  </si>
  <si>
    <t xml:space="preserve">VINAYAKA BHARAT GAS </t>
  </si>
  <si>
    <t>SHOP NO 4, ROAD KHATA NO 158/A GROUND FLOOR</t>
  </si>
  <si>
    <t xml:space="preserve">CITY VINAYAKA NAGAR </t>
  </si>
  <si>
    <t>BANGALORE URBAN, KARNATAKA - 560037</t>
  </si>
  <si>
    <t xml:space="preserve">GSTIN – 29AAKFV9751D1ZN </t>
  </si>
  <si>
    <t>KA-27-A-9934</t>
  </si>
  <si>
    <t>KA-02-AD-2788</t>
  </si>
  <si>
    <t>BHOOMI BHARAT GAS</t>
  </si>
  <si>
    <t xml:space="preserve">GROUND FLOOR 358 MEI LAYOUT </t>
  </si>
  <si>
    <t xml:space="preserve">6TH  MAIN ROAD BEGALAKUNTE </t>
  </si>
  <si>
    <t>BANGALORE URBAN, KARNATAKA - 560073</t>
  </si>
  <si>
    <t>KA-04-D-7619</t>
  </si>
  <si>
    <t>KA-04-D-3685</t>
  </si>
  <si>
    <t>KA-01-AR-3273</t>
  </si>
  <si>
    <t>KEERTHI  BHARAT GAS</t>
  </si>
  <si>
    <t xml:space="preserve">NO 16&amp;17, 18TH CROSS LAKSHMIPURAM </t>
  </si>
  <si>
    <t>HALASUR BANGALURU - 560008</t>
  </si>
  <si>
    <t>GSTIN – 29AANFK8317P1ZE</t>
  </si>
  <si>
    <t>KA-16-D-8043</t>
  </si>
  <si>
    <t>KA-01-AG-2443</t>
  </si>
  <si>
    <t>MANAV ENTERPRISES</t>
  </si>
  <si>
    <t xml:space="preserve">NO NO 114 SHANTA RESIDENCY WEELER ROAD </t>
  </si>
  <si>
    <t>COZ TOWN BENGALURU- 560005</t>
  </si>
  <si>
    <t>GSTIN – 29ACCFM7918F1ZZ</t>
  </si>
  <si>
    <t>KA-40-A-1374 (10 WHEEL)</t>
  </si>
  <si>
    <t>KA-19-AB-1288(6 WHEEL)</t>
  </si>
  <si>
    <t xml:space="preserve">GANAPATHY RAJA ENTERPRISES </t>
  </si>
  <si>
    <t>GROUND FLOOR 47/1, 1ST CROSS KV LAYOUT</t>
  </si>
  <si>
    <t xml:space="preserve">4TH BLOCK EAST JAYANAGARA </t>
  </si>
  <si>
    <t>BENGALURU URBAN KARNATAKA - 560041</t>
  </si>
  <si>
    <t>GSTIN – 29ACCPR0239C1ZV</t>
  </si>
  <si>
    <t>KA-01-AD-5715(10 WHEEL)</t>
  </si>
  <si>
    <t>KA-01-AJ-0153</t>
  </si>
  <si>
    <t>KA-02-AA-4584</t>
  </si>
  <si>
    <t xml:space="preserve">SRI VENKATADRI GAS AGENCY </t>
  </si>
  <si>
    <t xml:space="preserve">NO 213/4A AND 213/4B NEAR LIC OFFICE </t>
  </si>
  <si>
    <t xml:space="preserve">MAIN ROAD HIRIYUR CHITHRADURGA </t>
  </si>
  <si>
    <t>KARNATAKA - 577598</t>
  </si>
  <si>
    <t>GSTIN – 29ADJFS2769Q1ZY</t>
  </si>
  <si>
    <t>KA-16-A-4811</t>
  </si>
  <si>
    <t>KA-16-B-6060</t>
  </si>
  <si>
    <t>KA-16-B-9127</t>
  </si>
  <si>
    <t>KA-16-C-1441(10 WHEEL)</t>
  </si>
  <si>
    <t>KA-16-C-5522(10 WHEEL)</t>
  </si>
  <si>
    <t>ACCOUNT NO : 50200076002672</t>
  </si>
  <si>
    <t>IFSC CODE : HDFC0004261</t>
  </si>
  <si>
    <t xml:space="preserve">BANK ACCOUNT DETAILS </t>
  </si>
  <si>
    <t xml:space="preserve">ANANYA ENTERPRISES, HDFC BANK  </t>
  </si>
  <si>
    <t>UNITED BHARAT GAS</t>
  </si>
  <si>
    <t>NO 7, 170/2/ GVP CASTLE DWARKANAGAR</t>
  </si>
  <si>
    <t xml:space="preserve">BAGALUR MAIN ROAD IAF POST </t>
  </si>
  <si>
    <t>BENGALURU KARNATAKA - 560063</t>
  </si>
  <si>
    <t>GSTIN – 29AMHPK1553F2Z2</t>
  </si>
  <si>
    <t>KA-03-AD-8328</t>
  </si>
  <si>
    <t>KA-03-4787</t>
  </si>
  <si>
    <t>KA-01-AF-0972</t>
  </si>
  <si>
    <t>KA-53-C-7681</t>
  </si>
  <si>
    <t>BHAGYALAKSHMI GAS AGENCY</t>
  </si>
  <si>
    <t xml:space="preserve">NARASIMHA CIRCLE KALYAGATE </t>
  </si>
  <si>
    <t xml:space="preserve">MAGADI TOWN </t>
  </si>
  <si>
    <t xml:space="preserve"> KARNATAKA - 562120</t>
  </si>
  <si>
    <t>KA-42-A-2046</t>
  </si>
  <si>
    <t>GSTIN – 29AEUPK3036J1Z0</t>
  </si>
  <si>
    <t>SAIMANGALA ENTERPRISES</t>
  </si>
  <si>
    <t>NO #190 HEGGANAHALLI MAIN ROAD</t>
  </si>
  <si>
    <t xml:space="preserve">VISHWANEEDAM POST BANGLORE - </t>
  </si>
  <si>
    <t xml:space="preserve"> KARNATAKA - 560091</t>
  </si>
  <si>
    <t>GSTIN – 29AERFS5153B1ZR</t>
  </si>
  <si>
    <t>KA-03-AD-2900</t>
  </si>
  <si>
    <t>MADAM ENTERPRISES</t>
  </si>
  <si>
    <t>NO.18 .Kalyana Mantapa Road Jakkasandra</t>
  </si>
  <si>
    <t>Main Road 1 st Block Koramangala</t>
  </si>
  <si>
    <t>Bangalore -560034</t>
  </si>
  <si>
    <t xml:space="preserve">GSTIN – 29ABIPK0217G1ZW </t>
  </si>
  <si>
    <t>KA-02-AE-1747</t>
  </si>
  <si>
    <t>VIJAY BHARATGAS ENTERPRISES</t>
  </si>
  <si>
    <t>NO #749 SARJAPUR MAIN ROAD ATTIBELE</t>
  </si>
  <si>
    <t>BANGLORE - 562107</t>
  </si>
  <si>
    <t xml:space="preserve">GSTIN – 29AASPV4647G1ZV </t>
  </si>
  <si>
    <t>KA-01-AN-6795</t>
  </si>
  <si>
    <t>KA-19-D-5817</t>
  </si>
  <si>
    <t xml:space="preserve">SREE REVATHI BHARAT GAS </t>
  </si>
  <si>
    <t>NO # 1081 GUNDURAV COMPLEX OPP</t>
  </si>
  <si>
    <t>DHARMARAYA TEMPLE BANGARPET</t>
  </si>
  <si>
    <t>KOLAR KARNATAKA - 563114</t>
  </si>
  <si>
    <t xml:space="preserve">GSTIN – 29ALKPR9817K1Z5  </t>
  </si>
  <si>
    <t>KA-08-5766(10W)</t>
  </si>
  <si>
    <t>KA-07-A-7230(10W)</t>
  </si>
  <si>
    <t>KA-07-A-7228</t>
  </si>
  <si>
    <t>ANMOL BHARAT GAS DISTRIBUTORS</t>
  </si>
  <si>
    <t>Kamalanagar Basaveshwara Nagar</t>
  </si>
  <si>
    <t>Banaluru Urban Karnataka -560079</t>
  </si>
  <si>
    <t>Ground Floor NO #20 1ST Main Road 96D Bus Route</t>
  </si>
  <si>
    <t xml:space="preserve">GSTIN – 29ACCFA6253D1ZL </t>
  </si>
  <si>
    <t>KA-02-AD-2898</t>
  </si>
  <si>
    <t>KA-02-AD-2903</t>
  </si>
  <si>
    <t>KA-06-AG-4949</t>
  </si>
  <si>
    <t>KA-02-AE-9324</t>
  </si>
  <si>
    <t>KA-52-0008</t>
  </si>
  <si>
    <t>KA-02-B-9141</t>
  </si>
  <si>
    <t>KA-07-AC-3469</t>
  </si>
  <si>
    <t>N M BHARAT GAS</t>
  </si>
  <si>
    <t>OPP WATER PUMP HOUSE</t>
  </si>
  <si>
    <t>MG ROAD CHINTAMANI CHIKKABALLAPURA</t>
  </si>
  <si>
    <t>KARNATAKA - 563125</t>
  </si>
  <si>
    <t xml:space="preserve">GSTIN – 29CMQPP2666D1ZJ </t>
  </si>
  <si>
    <t>KA-01-AH-9597</t>
  </si>
  <si>
    <t>KA-01-AJ-8201</t>
  </si>
  <si>
    <t>KA-01-AJ-8202</t>
  </si>
  <si>
    <t>SHREERAKSHA GAS AGENCY</t>
  </si>
  <si>
    <t>NO #8/2B BHAVANI ROAD HEBBAGUDI</t>
  </si>
  <si>
    <t>BANGLORE KARNATAKA - 560099</t>
  </si>
  <si>
    <t>GSTIN – 29AKGPM5811K1ZU</t>
  </si>
  <si>
    <t>KA-51-B-6416(10W)</t>
  </si>
  <si>
    <t>KA-51-AG-2435</t>
  </si>
  <si>
    <t>KA-51-AJ-2569</t>
  </si>
  <si>
    <t>PRATEEK ENTERPRISES</t>
  </si>
  <si>
    <t>DEVANBU ADVOCTE BANASWADI BENALURU</t>
  </si>
  <si>
    <t>URBAN KARNATAKA - 560043</t>
  </si>
  <si>
    <t xml:space="preserve">GROUND FLOOR 201 3RD C MAIN ROD RUPA </t>
  </si>
  <si>
    <t>GSTIN – 29ABCFP7935L1ZK</t>
  </si>
  <si>
    <r>
      <t>KA-06-AA</t>
    </r>
    <r>
      <rPr>
        <b/>
        <sz val="12"/>
        <color rgb="FF000000"/>
        <rFont val="Arial"/>
        <family val="2"/>
      </rPr>
      <t>-</t>
    </r>
    <r>
      <rPr>
        <b/>
        <sz val="14"/>
        <color rgb="FF000000"/>
        <rFont val="Arial"/>
        <family val="2"/>
      </rPr>
      <t>3687</t>
    </r>
  </si>
  <si>
    <t>KA-02-AG-9399</t>
  </si>
  <si>
    <t>KA-06-AB-0881(10W)504</t>
  </si>
  <si>
    <t>KA-06-AB-4423(10W)450</t>
  </si>
  <si>
    <t>KA05AS2909</t>
  </si>
  <si>
    <t>MANJUNATHA  AGENCY</t>
  </si>
  <si>
    <t>SOMEESHWARA TEMPLE ROAD</t>
  </si>
  <si>
    <t>DODDABALLAPURA</t>
  </si>
  <si>
    <t>GSTIN – 29AAEFM0364R2ZP</t>
  </si>
  <si>
    <t>KA-11-C-2509</t>
  </si>
  <si>
    <t>KA-54-3567</t>
  </si>
  <si>
    <t>KA-01-AM-3030(10W)</t>
  </si>
  <si>
    <t>KA-27-B-0274</t>
  </si>
  <si>
    <t>KA-01-AC-5654</t>
  </si>
  <si>
    <t>SREE BALAJI GAS AGENCIES</t>
  </si>
  <si>
    <t xml:space="preserve">NO #39/1 ,MATHIKERE EXTENSION OPP STATE </t>
  </si>
  <si>
    <t>BANK OF SAURASHTRA HMT MAIN ROAD</t>
  </si>
  <si>
    <t>BENGALURU URBAN KARNATAKA 560054</t>
  </si>
  <si>
    <t>GSTIN – 29ABNFS7493M1ZZ</t>
  </si>
  <si>
    <t>KA-16-D-8045</t>
  </si>
  <si>
    <t>MH-16-Y-7446</t>
  </si>
  <si>
    <t>KA-11-A-5787</t>
  </si>
  <si>
    <t>JANA BHARAT GAS AGENCY</t>
  </si>
  <si>
    <t xml:space="preserve">NO #12/1 DR. COMPLEX UTTHARAHALLI </t>
  </si>
  <si>
    <t xml:space="preserve">MAIN ROAD BANGLORE URBAN </t>
  </si>
  <si>
    <t>BANGLORE KARNATAKA - 560063</t>
  </si>
  <si>
    <t>GSTIN – 29AAQFJ2067A1ZC</t>
  </si>
  <si>
    <t>KL-13-X-9674</t>
  </si>
  <si>
    <t>KA-04-D-8640</t>
  </si>
  <si>
    <t>KA-54-4644</t>
  </si>
  <si>
    <t>KA-19-AD-1017</t>
  </si>
  <si>
    <t>KA-06-D-0978</t>
  </si>
  <si>
    <t>L V N BHARAT GAS</t>
  </si>
  <si>
    <t>RURAL KARNATAKA - 560102</t>
  </si>
  <si>
    <t xml:space="preserve">NO #501 6TH SECTOR HSR LAYOUT BENGALURU </t>
  </si>
  <si>
    <t>GSTIN – 29AAFFL1986P1ZG</t>
  </si>
  <si>
    <t>KA-51-AG-3447</t>
  </si>
  <si>
    <t>LAVANYA BHARAT GAS</t>
  </si>
  <si>
    <t>NO #1/5 CRESENT PLAZA OPP PUSHPANJALI</t>
  </si>
  <si>
    <t>THEATRE SULTANPALYA ROAD RT NAGAR POST</t>
  </si>
  <si>
    <t>BANGLORE - 560032</t>
  </si>
  <si>
    <t>GSTIN – 29AAFFL1634A1ZQ</t>
  </si>
  <si>
    <t>KA-14-B-3999</t>
  </si>
  <si>
    <t>PAVANASUTA BHRAT GAS Gramin Vitarak</t>
  </si>
  <si>
    <t>Koratagere Main Road Urdigere Tumakur (T)</t>
  </si>
  <si>
    <t>TUMAKUA DIS -572140</t>
  </si>
  <si>
    <t>KA-06-AB-8922</t>
  </si>
  <si>
    <t xml:space="preserve">NIMISHAMBA BHARAT GAS </t>
  </si>
  <si>
    <t>NO #03 FIRST FLOOR KENCHANAKUPPE</t>
  </si>
  <si>
    <t>BIDADI HOBALI RAMANAGARA TALUK</t>
  </si>
  <si>
    <t>RAMANAGARA DISTRICT KARNATAKA - 562109</t>
  </si>
  <si>
    <t>GSTIN – 29AAKFN7990E1ZO</t>
  </si>
  <si>
    <t>KA-07-B-9187(HIPPO)</t>
  </si>
  <si>
    <t>KA-19-B-2513</t>
  </si>
  <si>
    <t>GSTIN – 29ABHFP7921K1ZN</t>
  </si>
  <si>
    <t>MAYURA AGENCY</t>
  </si>
  <si>
    <t>NO -14/3 THARANGAMBADI ROAD</t>
  </si>
  <si>
    <t>MAYILLADUTHURAI</t>
  </si>
  <si>
    <t>STATE – TAMIL NADU-CODE -33</t>
  </si>
  <si>
    <t>GSTIN – 33AMRPM1457E1Z1</t>
  </si>
  <si>
    <t>KA-01-AH-7341</t>
  </si>
  <si>
    <t>MAHALASA BHARAT GAS</t>
  </si>
  <si>
    <t>NO .2 K V CHHANSHEKAR REDDY BUILD</t>
  </si>
  <si>
    <t>SARJAPUR HOBLI BANGALURU</t>
  </si>
  <si>
    <t>KARNATAKA-562125</t>
  </si>
  <si>
    <t>GSTIN – 29ABDFM3371Q2ZL</t>
  </si>
  <si>
    <t>KA-52-8225</t>
  </si>
  <si>
    <t>ANUGRAHA AGENCIES</t>
  </si>
  <si>
    <t>BASAVESHAWARA NAGAR BANGALORE</t>
  </si>
  <si>
    <t>KARNATAKA -560079</t>
  </si>
  <si>
    <t>NO. 22 5TH MAIN LIG 1ST STAGE KHB COLONY</t>
  </si>
  <si>
    <t>GSTIN – 29ABLFA4833H1Z8</t>
  </si>
  <si>
    <t>KA-04-AA-6678</t>
  </si>
  <si>
    <t>ROHAN GAS DISTRIBUTORS</t>
  </si>
  <si>
    <t>BENGALURU - 560003</t>
  </si>
  <si>
    <t>NO # 5/A 5TH  CROSS MALLESHWARAM</t>
  </si>
  <si>
    <t>GSTIN – 29AAZPC3441N1Z2</t>
  </si>
  <si>
    <t>KA-02-AD-8609</t>
  </si>
  <si>
    <t>KA-42-A-0362</t>
  </si>
  <si>
    <t>KA-06-AB-0508</t>
  </si>
  <si>
    <t>SURABHI BHARAT GAS ENTERPRISES</t>
  </si>
  <si>
    <t>GSTIN – 29AHFPM8931J1ZT</t>
  </si>
  <si>
    <t>KA-43-0277</t>
  </si>
  <si>
    <t>KA-43-A-5117(10W)</t>
  </si>
  <si>
    <t>KA-43-2839</t>
  </si>
  <si>
    <t>KA-43-A-2388</t>
  </si>
  <si>
    <t>SHRAVAN GAS SERVICES</t>
  </si>
  <si>
    <t>NO #693 CBI ROAD RT NAGARA</t>
  </si>
  <si>
    <t>BENGALURU - 560041</t>
  </si>
  <si>
    <t>GSTIN – 29ACHFS0502J1Z5</t>
  </si>
  <si>
    <t>KA-02-AC-7277(10 WHEEL)</t>
  </si>
  <si>
    <t>KA-05-AD-4049</t>
  </si>
  <si>
    <t>BANGALORE  GAS AGENCY</t>
  </si>
  <si>
    <t>BANGALORE -560029</t>
  </si>
  <si>
    <t xml:space="preserve">8TH  MAIN B T M 1ST STAGE </t>
  </si>
  <si>
    <t>GSTIN – 29AHUPP9595L1ZT</t>
  </si>
  <si>
    <t xml:space="preserve">KA-01-AB-1701 </t>
  </si>
  <si>
    <t xml:space="preserve">KA-03-AA-1356 </t>
  </si>
  <si>
    <t>SAI SRI BHARAT GAS DISTRIBUTORS</t>
  </si>
  <si>
    <t>NO #03 HARAGADDE VILLAGE AND POST JIGANI</t>
  </si>
  <si>
    <t xml:space="preserve">HOBLI ANNEKAL THALUK BENGALURU RURAL </t>
  </si>
  <si>
    <t>KARNATAKA - 560105</t>
  </si>
  <si>
    <t>GSTIN – 29AFSFS5556C1ZF</t>
  </si>
  <si>
    <t>KA-53-A-7499(10W)540</t>
  </si>
  <si>
    <t>K C N BHARAT GAS GRAMINA VITARAK</t>
  </si>
  <si>
    <t>NO #326 KORTAGERE TQ KATENAHALLI</t>
  </si>
  <si>
    <t xml:space="preserve">MAIN ROAD KOLALA TUMAKUR </t>
  </si>
  <si>
    <t>KARNATAKA - 572140</t>
  </si>
  <si>
    <t>GSTIN – 29AFLPV5980Q1Z1</t>
  </si>
  <si>
    <t>KA-06-D-6520</t>
  </si>
  <si>
    <t>ISHA BHARAT GAS</t>
  </si>
  <si>
    <t>NO. 5 .Timmarayappa Building Chandapura Circle</t>
  </si>
  <si>
    <t>Banagalore  Urban Dist - 560099</t>
  </si>
  <si>
    <t>GSTIN – 29AUFPM2093N1Z1</t>
  </si>
  <si>
    <t>KA-51-A-6536</t>
  </si>
  <si>
    <t>SHREE MAHALAKSHMI BHARATGAS GRAMIN VITARAK</t>
  </si>
  <si>
    <t>TANK ROAD NEW PET HULIYURDURGA</t>
  </si>
  <si>
    <t>KUNIGAL TALUK TUMKUR DISTRICT - 572123</t>
  </si>
  <si>
    <t>GSTIN – 29BHBPS4484F1ZZ</t>
  </si>
  <si>
    <t>KA-06-D-6531</t>
  </si>
  <si>
    <t>S V AGENCY</t>
  </si>
  <si>
    <t>NO #342 OLD NO 81 DR. RAJKUMAR ROAD</t>
  </si>
  <si>
    <t>BENGALURU KARNATAKA - 560010</t>
  </si>
  <si>
    <t>RAJAJINAGARA 6TH BLOCK BENGAURU URBAN</t>
  </si>
  <si>
    <t>GSTIN – 29AJKPP1032G1Z9</t>
  </si>
  <si>
    <t>KA-02-AF-2977</t>
  </si>
  <si>
    <t>KA-AG-2901</t>
  </si>
  <si>
    <t>KA-02-AF-7495</t>
  </si>
  <si>
    <t>KA-02-C-9622</t>
  </si>
  <si>
    <t>KA-02-A-4771</t>
  </si>
  <si>
    <t>K B N ND BHARAT GAS</t>
  </si>
  <si>
    <t>RS Palya Kammanahalli</t>
  </si>
  <si>
    <t>Bangalore -560033</t>
  </si>
  <si>
    <t>NO.13 .1st Cross Shathyamurthy Road</t>
  </si>
  <si>
    <t>GSTIN – 29ATFPP0677G1ZD</t>
  </si>
  <si>
    <t>KA-02-AD-8856</t>
  </si>
  <si>
    <t>KA-01-AA-4744</t>
  </si>
  <si>
    <t>M S D ENTERPRISES</t>
  </si>
  <si>
    <t>Rajaji nagar Bangalore -560010</t>
  </si>
  <si>
    <t>#34 59th B Cross 4th N Block</t>
  </si>
  <si>
    <t>GSTIN – 29ABKFM7178C1ZV</t>
  </si>
  <si>
    <t>KA-02-AF-3079</t>
  </si>
  <si>
    <t>KA-19-D-5982</t>
  </si>
  <si>
    <t>KA-02-AF-5953(10 WHEEL)</t>
  </si>
  <si>
    <t>KA-02-AG-1661</t>
  </si>
  <si>
    <t>KA-02-AH-2637</t>
  </si>
  <si>
    <t>SHRUSTI  BHARAT GAS</t>
  </si>
  <si>
    <t>NO.214 NEER VARTHUR POLICE STATION</t>
  </si>
  <si>
    <t>HALASAHALLI ROAD</t>
  </si>
  <si>
    <t>VARTHUR BANGALORE -560087</t>
  </si>
  <si>
    <t>GSTIN – 29ADDFS2422E1ZB</t>
  </si>
  <si>
    <t>KA-53-9172</t>
  </si>
  <si>
    <t>M D  BHARAT GAS</t>
  </si>
  <si>
    <t>NO-83-P Road KIADB Kelakote Industrial Area</t>
  </si>
  <si>
    <t>Near Varsha Assosiation Chitradurga -577501</t>
  </si>
  <si>
    <t>GSTIN – 29KPRPS6734H2ZR</t>
  </si>
  <si>
    <t>KA-51-A-4844</t>
  </si>
  <si>
    <t>V A M T R BHARAT GAS</t>
  </si>
  <si>
    <t>#19&amp;20 Hoodi Layout Opp Purva Grace Apartment</t>
  </si>
  <si>
    <t>Amruthahalli Sahakaranagar Post Bangaluru-</t>
  </si>
  <si>
    <t>PIN -560092</t>
  </si>
  <si>
    <t>GSTIN – 29ALTPR4733P1ZX</t>
  </si>
  <si>
    <t>KA-42-A-8468(264C)</t>
  </si>
  <si>
    <t>KA-50-A-9738(288C)</t>
  </si>
  <si>
    <t>KA-05-AQ-6719(90C)</t>
  </si>
  <si>
    <t>KA-06-AC-3503(144C)</t>
  </si>
  <si>
    <t>KA 53 A 7007</t>
  </si>
  <si>
    <t>LPG CYLINDER LOADING AND UNLOADING CHARGES FOR THE MONTH JULY 2026</t>
  </si>
  <si>
    <t>KA-02-AG-9813</t>
  </si>
  <si>
    <t>KA-43-A-6598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</si>
</sst>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7"/>
      <color rgb="FFC00000"/>
      <name val="Times New Roman"/>
      <family val="1"/>
    </font>
    <font>
      <sz val="11"/>
      <color rgb="FF002060"/>
      <name val="Times New Roman"/>
      <family val="1"/>
    </font>
    <font>
      <sz val="14"/>
      <color rgb="FFC0504D"/>
      <name val="Times New Roman"/>
      <family val="1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8"/>
      <color theme="1"/>
      <name val="Arial"/>
      <family val="2"/>
    </font>
    <font>
      <b/>
      <sz val="14"/>
      <color rgb="FF000000"/>
      <name val="Calibri"/>
      <family val="2"/>
      <scheme val="minor"/>
    </font>
    <font>
      <b/>
      <sz val="36"/>
      <color rgb="FFC00000"/>
      <name val="Times New Roman"/>
      <family val="1"/>
    </font>
    <font>
      <sz val="10"/>
      <color rgb="FF002060"/>
      <name val="Times New Roman"/>
      <family val="1"/>
    </font>
    <font>
      <vertAlign val="superscript"/>
      <sz val="10"/>
      <color rgb="FF002060"/>
      <name val="Times New Roman"/>
      <family val="1"/>
    </font>
    <font>
      <sz val="10"/>
      <color rgb="FF1F497D"/>
      <name val="Times New Roman"/>
      <family val="1"/>
    </font>
    <font>
      <sz val="12"/>
      <color rgb="FFC0504D"/>
      <name val="Times New Roman"/>
      <family val="1"/>
    </font>
    <font>
      <b/>
      <sz val="12"/>
      <color rgb="FFC0504D"/>
      <name val="Times New Roman"/>
      <family val="1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  <font>
      <b/>
      <sz val="9"/>
      <color theme="1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b/>
      <sz val="16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sz val="15"/>
      <color rgb="FF000000"/>
      <name val="Calibri"/>
      <family val="2"/>
      <scheme val="minor"/>
    </font>
    <font>
      <b/>
      <sz val="13"/>
      <color theme="1"/>
      <name val="Arial"/>
      <family val="2"/>
    </font>
    <font>
      <b/>
      <sz val="1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7" xfId="0" applyBorder="1"/>
    <xf numFmtId="0" fontId="0" fillId="0" borderId="5" xfId="0" applyBorder="1"/>
    <xf numFmtId="0" fontId="0" fillId="0" borderId="3" xfId="0" applyBorder="1"/>
    <xf numFmtId="0" fontId="0" fillId="0" borderId="0" xfId="0" applyBorder="1"/>
    <xf numFmtId="0" fontId="0" fillId="0" borderId="8" xfId="0" applyBorder="1"/>
    <xf numFmtId="0" fontId="0" fillId="0" borderId="1" xfId="0" applyBorder="1"/>
    <xf numFmtId="0" fontId="5" fillId="0" borderId="0" xfId="0" applyFont="1" applyBorder="1" applyAlignment="1">
      <alignment vertical="center"/>
    </xf>
    <xf numFmtId="0" fontId="7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10" fillId="0" borderId="0" xfId="0" applyFont="1" applyBorder="1" applyAlignment="1">
      <alignment vertical="center"/>
    </xf>
    <xf numFmtId="14" fontId="7" fillId="0" borderId="0" xfId="0" applyNumberFormat="1" applyFont="1" applyBorder="1" applyAlignment="1">
      <alignment vertical="center"/>
    </xf>
    <xf numFmtId="0" fontId="6" fillId="0" borderId="13" xfId="0" applyFont="1" applyBorder="1" applyAlignment="1">
      <alignment horizontal="left" vertical="center"/>
    </xf>
    <xf numFmtId="0" fontId="8" fillId="0" borderId="13" xfId="0" applyFont="1" applyBorder="1" applyAlignment="1">
      <alignment vertical="center"/>
    </xf>
    <xf numFmtId="14" fontId="7" fillId="0" borderId="13" xfId="0" applyNumberFormat="1" applyFont="1" applyBorder="1" applyAlignment="1">
      <alignment horizontal="left" vertical="center"/>
    </xf>
    <xf numFmtId="0" fontId="10" fillId="0" borderId="13" xfId="0" applyFont="1" applyBorder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4" fillId="0" borderId="0" xfId="0" applyFont="1" applyFill="1" applyAlignment="1"/>
    <xf numFmtId="0" fontId="12" fillId="0" borderId="0" xfId="0" applyFont="1" applyAlignment="1"/>
    <xf numFmtId="0" fontId="0" fillId="0" borderId="13" xfId="0" applyBorder="1"/>
    <xf numFmtId="0" fontId="6" fillId="0" borderId="12" xfId="0" applyFont="1" applyBorder="1"/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wrapText="1"/>
    </xf>
    <xf numFmtId="0" fontId="1" fillId="0" borderId="12" xfId="0" applyFont="1" applyBorder="1"/>
    <xf numFmtId="0" fontId="12" fillId="0" borderId="12" xfId="0" applyFont="1" applyBorder="1"/>
    <xf numFmtId="0" fontId="5" fillId="0" borderId="4" xfId="0" applyFont="1" applyBorder="1"/>
    <xf numFmtId="0" fontId="6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6" fillId="0" borderId="12" xfId="0" applyFont="1" applyBorder="1" applyAlignment="1">
      <alignment horizontal="center" wrapText="1"/>
    </xf>
    <xf numFmtId="2" fontId="1" fillId="0" borderId="6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5" fillId="0" borderId="0" xfId="0" applyFont="1" applyBorder="1" applyAlignment="1">
      <alignment vertical="center"/>
    </xf>
    <xf numFmtId="0" fontId="0" fillId="0" borderId="0" xfId="0" applyBorder="1"/>
    <xf numFmtId="0" fontId="12" fillId="0" borderId="0" xfId="0" applyFont="1" applyAlignment="1">
      <alignment horizontal="center"/>
    </xf>
    <xf numFmtId="0" fontId="0" fillId="0" borderId="0" xfId="0" applyBorder="1"/>
    <xf numFmtId="0" fontId="5" fillId="0" borderId="0" xfId="0" applyFont="1" applyBorder="1" applyAlignment="1">
      <alignment vertical="center"/>
    </xf>
    <xf numFmtId="0" fontId="12" fillId="0" borderId="0" xfId="0" applyFont="1"/>
    <xf numFmtId="0" fontId="5" fillId="0" borderId="0" xfId="0" applyFont="1"/>
    <xf numFmtId="14" fontId="6" fillId="0" borderId="13" xfId="0" applyNumberFormat="1" applyFont="1" applyBorder="1" applyAlignment="1">
      <alignment horizontal="left" vertic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0" fontId="5" fillId="0" borderId="14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5" fillId="0" borderId="0" xfId="0" applyFont="1" applyBorder="1"/>
    <xf numFmtId="0" fontId="12" fillId="0" borderId="0" xfId="0" applyFont="1" applyBorder="1" applyAlignment="1"/>
    <xf numFmtId="0" fontId="22" fillId="0" borderId="0" xfId="0" applyFont="1"/>
    <xf numFmtId="0" fontId="21" fillId="0" borderId="0" xfId="0" applyFont="1"/>
    <xf numFmtId="0" fontId="23" fillId="0" borderId="0" xfId="0" applyFont="1"/>
    <xf numFmtId="0" fontId="24" fillId="0" borderId="0" xfId="0" applyFont="1"/>
    <xf numFmtId="0" fontId="0" fillId="0" borderId="15" xfId="0" applyBorder="1"/>
    <xf numFmtId="0" fontId="0" fillId="0" borderId="16" xfId="0" applyBorder="1"/>
    <xf numFmtId="0" fontId="0" fillId="0" borderId="6" xfId="0" applyBorder="1"/>
    <xf numFmtId="0" fontId="25" fillId="0" borderId="0" xfId="0" applyFont="1"/>
    <xf numFmtId="0" fontId="26" fillId="0" borderId="0" xfId="0" applyFont="1"/>
    <xf numFmtId="0" fontId="0" fillId="0" borderId="0" xfId="0" applyBorder="1"/>
    <xf numFmtId="0" fontId="27" fillId="0" borderId="0" xfId="0" applyFont="1"/>
    <xf numFmtId="0" fontId="1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28" fillId="0" borderId="0" xfId="0" applyFont="1"/>
    <xf numFmtId="0" fontId="8" fillId="0" borderId="0" xfId="0" applyFont="1"/>
    <xf numFmtId="0" fontId="6" fillId="0" borderId="0" xfId="0" applyFont="1"/>
    <xf numFmtId="0" fontId="29" fillId="0" borderId="0" xfId="0" applyFont="1"/>
    <xf numFmtId="0" fontId="19" fillId="0" borderId="0" xfId="0" applyFont="1" applyBorder="1" applyAlignment="1">
      <alignment vertical="center"/>
    </xf>
    <xf numFmtId="0" fontId="0" fillId="0" borderId="0" xfId="0" applyBorder="1"/>
    <xf numFmtId="0" fontId="12" fillId="0" borderId="0" xfId="0" applyFont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5" fillId="0" borderId="3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11" fillId="0" borderId="8" xfId="0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5" fillId="0" borderId="1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0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940" y="7169426"/>
          <a:ext cx="1729408" cy="6559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111448"/>
          <a:ext cx="1728083" cy="6453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111448"/>
          <a:ext cx="1728083" cy="6453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126688"/>
          <a:ext cx="1728083" cy="6453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202888"/>
          <a:ext cx="1728083" cy="64538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218128"/>
          <a:ext cx="1728083" cy="64538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233368"/>
          <a:ext cx="1728083" cy="64538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279088"/>
          <a:ext cx="1728083" cy="64538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256228"/>
          <a:ext cx="1728083" cy="64538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210508"/>
          <a:ext cx="1728083" cy="64538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187648"/>
          <a:ext cx="1728083" cy="64538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218128"/>
          <a:ext cx="1728083" cy="64538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340048"/>
          <a:ext cx="1728083" cy="645381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301948"/>
          <a:ext cx="1728083" cy="64538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301948"/>
          <a:ext cx="1728083" cy="645381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301948"/>
          <a:ext cx="1728083" cy="64538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294328"/>
          <a:ext cx="1728083" cy="645381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279088"/>
          <a:ext cx="1728083" cy="645381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84828"/>
          <a:ext cx="1728083" cy="64538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46728"/>
          <a:ext cx="1728083" cy="645381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46728"/>
          <a:ext cx="1728083" cy="645381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362908"/>
          <a:ext cx="1728083" cy="645381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393388"/>
          <a:ext cx="1728083" cy="645381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385768"/>
          <a:ext cx="1728083" cy="645381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23868"/>
          <a:ext cx="1728083" cy="645381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23868"/>
          <a:ext cx="1728083" cy="645381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23868"/>
          <a:ext cx="1728083" cy="645381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61968"/>
          <a:ext cx="1728083" cy="645381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378148"/>
          <a:ext cx="1728083" cy="64538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61968"/>
          <a:ext cx="1728083" cy="645381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23868"/>
          <a:ext cx="1728083" cy="645381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23868"/>
          <a:ext cx="1728083" cy="645381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23868"/>
          <a:ext cx="1728083" cy="645381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01008"/>
          <a:ext cx="1728083" cy="645381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378148"/>
          <a:ext cx="1728083" cy="645381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378148"/>
          <a:ext cx="1728083" cy="645381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01008"/>
          <a:ext cx="1728083" cy="645381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355288"/>
          <a:ext cx="1728083" cy="645381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01008"/>
          <a:ext cx="1728083" cy="645381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01008"/>
          <a:ext cx="1728083" cy="645381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01008"/>
          <a:ext cx="1728083" cy="645381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416248"/>
          <a:ext cx="1728083" cy="645381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393388"/>
          <a:ext cx="1728083" cy="645381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340048"/>
          <a:ext cx="1728083" cy="645381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340048"/>
          <a:ext cx="1728083" cy="645381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954157</xdr:colOff>
      <xdr:row>34</xdr:row>
      <xdr:rowOff>139148</xdr:rowOff>
    </xdr:from>
    <xdr:to>
      <xdr:col>5</xdr:col>
      <xdr:colOff>1524000</xdr:colOff>
      <xdr:row>38</xdr:row>
      <xdr:rowOff>53009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277" y="7378148"/>
          <a:ext cx="1728083" cy="645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A34"/>
  <sheetViews>
    <sheetView zoomScale="115" zoomScaleNormal="115" workbookViewId="0">
      <selection activeCell="E17" sqref="E17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16">
        <v>46235</v>
      </c>
      <c r="G6" s="6"/>
      <c r="H6" s="13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ht="15.6" x14ac:dyDescent="0.3">
      <c r="A7" s="76" t="s">
        <v>2</v>
      </c>
      <c r="B7" s="77"/>
      <c r="C7" s="77"/>
      <c r="D7" s="77"/>
      <c r="E7" s="15" t="s">
        <v>3</v>
      </c>
      <c r="F7" s="17" t="s">
        <v>4</v>
      </c>
      <c r="G7" s="6"/>
      <c r="H7" s="18"/>
      <c r="I7" s="6"/>
      <c r="J7" s="6"/>
      <c r="K7" s="6"/>
      <c r="L7" s="6"/>
      <c r="M7" s="9"/>
      <c r="N7" s="9"/>
      <c r="O7" s="6"/>
      <c r="P7" s="6"/>
      <c r="Q7" s="10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ht="15.6" x14ac:dyDescent="0.3">
      <c r="A8" s="76" t="s">
        <v>5</v>
      </c>
      <c r="B8" s="77"/>
      <c r="C8" s="77"/>
      <c r="D8" s="77"/>
      <c r="E8" s="15" t="s">
        <v>6</v>
      </c>
      <c r="F8" s="17">
        <v>380893</v>
      </c>
      <c r="G8" s="6"/>
      <c r="H8" s="12"/>
      <c r="I8" s="6"/>
      <c r="J8" s="6"/>
      <c r="K8" s="6"/>
      <c r="L8" s="6"/>
      <c r="M8" s="6"/>
      <c r="N8" s="6"/>
      <c r="O8" s="6"/>
      <c r="P8" s="6"/>
      <c r="Q8" s="11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ht="15.6" x14ac:dyDescent="0.3">
      <c r="A9" s="76" t="s">
        <v>7</v>
      </c>
      <c r="B9" s="77"/>
      <c r="C9" s="77"/>
      <c r="D9" s="77"/>
      <c r="E9" s="15" t="s">
        <v>8</v>
      </c>
      <c r="F9" s="17" t="s">
        <v>9</v>
      </c>
      <c r="G9" s="6"/>
      <c r="H9" s="18"/>
      <c r="I9" s="6"/>
      <c r="J9" s="6"/>
      <c r="K9" s="6"/>
      <c r="L9" s="6"/>
      <c r="M9" s="6"/>
      <c r="N9" s="6"/>
      <c r="O9" s="6"/>
      <c r="P9" s="6"/>
      <c r="Q9" s="11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ht="15.6" x14ac:dyDescent="0.3">
      <c r="A10" s="76" t="s">
        <v>10</v>
      </c>
      <c r="B10" s="77"/>
      <c r="C10" s="77"/>
      <c r="D10" s="77"/>
      <c r="E10" s="15" t="s">
        <v>11</v>
      </c>
      <c r="F10" s="17">
        <v>1684</v>
      </c>
      <c r="G10" s="6"/>
      <c r="H10" s="12"/>
      <c r="I10" s="6"/>
      <c r="J10" s="6"/>
      <c r="K10" s="6"/>
      <c r="L10" s="6"/>
      <c r="M10" s="6"/>
      <c r="N10" s="6"/>
      <c r="O10" s="6"/>
      <c r="P10" s="6"/>
      <c r="Q10" s="11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ht="23.4" thickBot="1" x14ac:dyDescent="0.35">
      <c r="A11" s="78" t="s">
        <v>12</v>
      </c>
      <c r="B11" s="79"/>
      <c r="C11" s="79"/>
      <c r="D11" s="79"/>
      <c r="E11" s="24"/>
      <c r="F11" s="24"/>
      <c r="G11" s="6"/>
      <c r="I11" s="6"/>
      <c r="J11" s="6"/>
      <c r="K11" s="6"/>
      <c r="L11" s="6"/>
      <c r="M11" s="6"/>
      <c r="N11" s="6"/>
      <c r="O11" s="6"/>
      <c r="P11" s="6"/>
      <c r="Q11" s="11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x14ac:dyDescent="0.3">
      <c r="F12" s="6"/>
      <c r="G12" s="6"/>
      <c r="H12" s="6"/>
      <c r="I12" s="6"/>
      <c r="J12" s="6"/>
      <c r="K12" s="6"/>
      <c r="L12" s="71"/>
      <c r="M12" s="71"/>
      <c r="N12" s="71"/>
      <c r="O12" s="6"/>
      <c r="P12" s="6"/>
      <c r="Q12" s="11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23"/>
      <c r="I13" s="23"/>
      <c r="K13" s="6"/>
      <c r="L13" s="6"/>
      <c r="M13" s="6"/>
      <c r="N13" s="6"/>
      <c r="O13" s="6"/>
      <c r="P13" s="6"/>
      <c r="Q13" s="11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ht="15" thickBot="1" x14ac:dyDescent="0.35"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x14ac:dyDescent="0.3">
      <c r="A16" s="5"/>
      <c r="B16" s="4"/>
      <c r="C16" s="6"/>
      <c r="D16" s="4"/>
      <c r="E16" s="4"/>
      <c r="F16" s="4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x14ac:dyDescent="0.3">
      <c r="A17" s="33">
        <v>1</v>
      </c>
      <c r="B17" s="4"/>
      <c r="C17" s="31" t="s">
        <v>23</v>
      </c>
      <c r="D17" s="33">
        <v>20</v>
      </c>
      <c r="E17" s="33">
        <v>630</v>
      </c>
      <c r="F17" s="33">
        <f>D17*E17</f>
        <v>12600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x14ac:dyDescent="0.3">
      <c r="A18" s="4"/>
      <c r="B18" s="4"/>
      <c r="C18" s="4"/>
      <c r="D18" s="4"/>
      <c r="E18" s="4"/>
      <c r="F18" s="4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x14ac:dyDescent="0.3">
      <c r="A19" s="4"/>
      <c r="B19" s="4"/>
      <c r="C19" s="4"/>
      <c r="D19" s="4"/>
      <c r="E19" s="4"/>
      <c r="F19" s="4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x14ac:dyDescent="0.3">
      <c r="A20" s="4"/>
      <c r="B20" s="4"/>
      <c r="C20" s="4"/>
      <c r="D20" s="4"/>
      <c r="E20" s="4"/>
      <c r="F20" s="4"/>
    </row>
    <row r="21" spans="1:27" x14ac:dyDescent="0.3">
      <c r="A21" s="4"/>
      <c r="B21" s="4"/>
      <c r="C21" s="4"/>
      <c r="D21" s="4"/>
      <c r="E21" s="4"/>
      <c r="F21" s="4"/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1"/>
      <c r="E30" s="28" t="s">
        <v>17</v>
      </c>
      <c r="F30" s="32">
        <f>F17</f>
        <v>12600</v>
      </c>
    </row>
    <row r="31" spans="1:27" ht="18.600000000000001" thickBot="1" x14ac:dyDescent="0.4">
      <c r="A31" s="5" t="s">
        <v>100</v>
      </c>
      <c r="B31" s="62"/>
      <c r="C31" s="62"/>
      <c r="D31" s="6"/>
      <c r="E31" s="29" t="s">
        <v>18</v>
      </c>
      <c r="F31" s="36">
        <f>F30*9/100</f>
        <v>1134</v>
      </c>
    </row>
    <row r="32" spans="1:27" ht="15" thickBot="1" x14ac:dyDescent="0.35">
      <c r="A32" s="5" t="s">
        <v>97</v>
      </c>
      <c r="B32" s="62"/>
      <c r="C32" s="62"/>
      <c r="D32" s="6"/>
      <c r="E32" s="28" t="s">
        <v>22</v>
      </c>
      <c r="F32" s="36">
        <f>F30*9/100</f>
        <v>1134</v>
      </c>
    </row>
    <row r="33" spans="1:6" ht="16.2" thickBot="1" x14ac:dyDescent="0.35">
      <c r="A33" s="7" t="s">
        <v>98</v>
      </c>
      <c r="B33" s="3"/>
      <c r="C33" s="3"/>
      <c r="D33" s="3"/>
      <c r="E33" s="30" t="s">
        <v>19</v>
      </c>
      <c r="F33" s="35">
        <f>F30+F31+F32</f>
        <v>14868</v>
      </c>
    </row>
    <row r="34" spans="1:6" ht="15" thickBot="1" x14ac:dyDescent="0.35">
      <c r="A34" s="73" t="str">
        <f>SpellNumber(F33)</f>
        <v xml:space="preserve">Rupees Fourteen Thousand Eight Hundred SixtyEight Only </v>
      </c>
      <c r="B34" s="74"/>
      <c r="C34" s="74"/>
      <c r="D34" s="74"/>
      <c r="E34" s="74"/>
      <c r="F34" s="75"/>
    </row>
  </sheetData>
  <mergeCells count="13">
    <mergeCell ref="A7:D7"/>
    <mergeCell ref="A8:D8"/>
    <mergeCell ref="A9:D9"/>
    <mergeCell ref="A1:F1"/>
    <mergeCell ref="A2:F2"/>
    <mergeCell ref="A3:F3"/>
    <mergeCell ref="A4:F4"/>
    <mergeCell ref="A6:D6"/>
    <mergeCell ref="L12:N12"/>
    <mergeCell ref="A13:F13"/>
    <mergeCell ref="A34:F34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34"/>
  <sheetViews>
    <sheetView topLeftCell="A13" workbookViewId="0">
      <selection activeCell="A30" sqref="A30:C33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6640625" customWidth="1"/>
    <col min="7" max="7" width="9.77734375" customWidth="1"/>
    <col min="9" max="9" width="7.88671875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16">
        <v>46204</v>
      </c>
      <c r="G6" s="38"/>
      <c r="H6" s="13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</row>
    <row r="7" spans="1:27" ht="15.6" x14ac:dyDescent="0.3">
      <c r="A7" s="76" t="s">
        <v>28</v>
      </c>
      <c r="B7" s="77"/>
      <c r="C7" s="77"/>
      <c r="D7" s="77"/>
      <c r="E7" s="15" t="s">
        <v>3</v>
      </c>
      <c r="F7" s="17" t="s">
        <v>4</v>
      </c>
      <c r="G7" s="38"/>
      <c r="H7" s="18"/>
      <c r="I7" s="38"/>
      <c r="J7" s="38"/>
      <c r="K7" s="38"/>
      <c r="L7" s="38"/>
      <c r="M7" s="37"/>
      <c r="N7" s="37"/>
      <c r="O7" s="38"/>
      <c r="P7" s="38"/>
      <c r="Q7" s="10"/>
      <c r="R7" s="38"/>
      <c r="S7" s="38"/>
      <c r="T7" s="38"/>
      <c r="U7" s="38"/>
      <c r="V7" s="38"/>
      <c r="W7" s="38"/>
      <c r="X7" s="38"/>
      <c r="Y7" s="38"/>
      <c r="Z7" s="38"/>
      <c r="AA7" s="38"/>
    </row>
    <row r="8" spans="1:27" ht="15.6" x14ac:dyDescent="0.3">
      <c r="A8" s="76" t="s">
        <v>29</v>
      </c>
      <c r="B8" s="77"/>
      <c r="C8" s="77"/>
      <c r="D8" s="77"/>
      <c r="E8" s="15" t="s">
        <v>6</v>
      </c>
      <c r="F8" s="17">
        <v>380893</v>
      </c>
      <c r="G8" s="38"/>
      <c r="H8" s="12"/>
      <c r="I8" s="38"/>
      <c r="J8" s="38"/>
      <c r="K8" s="38"/>
      <c r="L8" s="38"/>
      <c r="M8" s="38"/>
      <c r="N8" s="38"/>
      <c r="O8" s="38"/>
      <c r="P8" s="38"/>
      <c r="Q8" s="11"/>
      <c r="R8" s="38"/>
      <c r="S8" s="38"/>
      <c r="T8" s="38"/>
      <c r="U8" s="38"/>
      <c r="V8" s="38"/>
      <c r="W8" s="38"/>
      <c r="X8" s="38"/>
      <c r="Y8" s="38"/>
      <c r="Z8" s="38"/>
      <c r="AA8" s="38"/>
    </row>
    <row r="9" spans="1:27" ht="15.6" x14ac:dyDescent="0.3">
      <c r="A9" s="76"/>
      <c r="B9" s="77"/>
      <c r="C9" s="77"/>
      <c r="D9" s="77"/>
      <c r="E9" s="15" t="s">
        <v>8</v>
      </c>
      <c r="F9" s="17" t="s">
        <v>9</v>
      </c>
      <c r="G9" s="38"/>
      <c r="H9" s="18"/>
      <c r="I9" s="38"/>
      <c r="J9" s="38"/>
      <c r="K9" s="38"/>
      <c r="L9" s="38"/>
      <c r="M9" s="38"/>
      <c r="N9" s="38"/>
      <c r="O9" s="38"/>
      <c r="P9" s="38"/>
      <c r="Q9" s="11"/>
      <c r="R9" s="38"/>
      <c r="S9" s="38"/>
      <c r="T9" s="38"/>
      <c r="U9" s="38"/>
      <c r="V9" s="38"/>
      <c r="W9" s="38"/>
      <c r="X9" s="38"/>
      <c r="Y9" s="38"/>
      <c r="Z9" s="38"/>
      <c r="AA9" s="38"/>
    </row>
    <row r="10" spans="1:27" ht="15.6" x14ac:dyDescent="0.3">
      <c r="A10" s="76"/>
      <c r="B10" s="77"/>
      <c r="C10" s="77"/>
      <c r="D10" s="77"/>
      <c r="E10" s="15" t="s">
        <v>11</v>
      </c>
      <c r="F10" s="17">
        <v>1630</v>
      </c>
      <c r="G10" s="38"/>
      <c r="H10" s="12"/>
      <c r="I10" s="38"/>
      <c r="J10" s="38"/>
      <c r="K10" s="38"/>
      <c r="L10" s="38"/>
      <c r="M10" s="38"/>
      <c r="N10" s="38"/>
      <c r="O10" s="38"/>
      <c r="P10" s="38"/>
      <c r="Q10" s="11"/>
      <c r="R10" s="38"/>
      <c r="S10" s="38"/>
      <c r="T10" s="38"/>
      <c r="U10" s="38"/>
      <c r="V10" s="38"/>
      <c r="W10" s="38"/>
      <c r="X10" s="38"/>
      <c r="Y10" s="38"/>
      <c r="Z10" s="38"/>
      <c r="AA10" s="38"/>
    </row>
    <row r="11" spans="1:27" ht="23.4" thickBot="1" x14ac:dyDescent="0.35">
      <c r="A11" s="78" t="s">
        <v>30</v>
      </c>
      <c r="B11" s="79"/>
      <c r="C11" s="79"/>
      <c r="D11" s="79"/>
      <c r="E11" s="24"/>
      <c r="F11" s="24"/>
      <c r="G11" s="38"/>
      <c r="I11" s="38"/>
      <c r="J11" s="38"/>
      <c r="K11" s="38"/>
      <c r="L11" s="38"/>
      <c r="M11" s="38"/>
      <c r="N11" s="38"/>
      <c r="O11" s="38"/>
      <c r="P11" s="38"/>
      <c r="Q11" s="11"/>
      <c r="R11" s="38"/>
      <c r="S11" s="38"/>
      <c r="T11" s="38"/>
      <c r="U11" s="38"/>
      <c r="V11" s="38"/>
      <c r="W11" s="38"/>
      <c r="X11" s="38"/>
      <c r="Y11" s="38"/>
      <c r="Z11" s="38"/>
      <c r="AA11" s="38"/>
    </row>
    <row r="12" spans="1:27" x14ac:dyDescent="0.3">
      <c r="F12" s="38"/>
      <c r="G12" s="38"/>
      <c r="H12" s="38"/>
      <c r="I12" s="38"/>
      <c r="J12" s="38"/>
      <c r="K12" s="38"/>
      <c r="L12" s="71"/>
      <c r="M12" s="71"/>
      <c r="N12" s="71"/>
      <c r="O12" s="38"/>
      <c r="P12" s="38"/>
      <c r="Q12" s="11"/>
      <c r="R12" s="38"/>
      <c r="S12" s="38"/>
      <c r="T12" s="38"/>
      <c r="U12" s="38"/>
      <c r="V12" s="38"/>
      <c r="W12" s="38"/>
      <c r="X12" s="38"/>
      <c r="Y12" s="38"/>
      <c r="Z12" s="38"/>
      <c r="AA12" s="38"/>
    </row>
    <row r="13" spans="1:27" ht="18" x14ac:dyDescent="0.35">
      <c r="A13" s="72" t="s">
        <v>27</v>
      </c>
      <c r="B13" s="72"/>
      <c r="C13" s="72"/>
      <c r="D13" s="72"/>
      <c r="E13" s="72"/>
      <c r="F13" s="72"/>
      <c r="G13" s="23"/>
      <c r="H13" s="23"/>
      <c r="I13" s="23"/>
      <c r="K13" s="38"/>
      <c r="L13" s="38"/>
      <c r="M13" s="38"/>
      <c r="N13" s="38"/>
      <c r="O13" s="38"/>
      <c r="P13" s="38"/>
      <c r="Q13" s="11"/>
      <c r="R13" s="38"/>
      <c r="S13" s="38"/>
      <c r="T13" s="38"/>
      <c r="U13" s="38"/>
      <c r="V13" s="38"/>
      <c r="W13" s="38"/>
      <c r="X13" s="38"/>
      <c r="Y13" s="38"/>
      <c r="Z13" s="38"/>
      <c r="AA13" s="38"/>
    </row>
    <row r="14" spans="1:27" ht="15" thickBot="1" x14ac:dyDescent="0.35"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</row>
    <row r="16" spans="1:27" x14ac:dyDescent="0.3">
      <c r="A16" s="5"/>
      <c r="B16" s="4"/>
      <c r="C16" s="38"/>
      <c r="D16" s="4"/>
      <c r="E16" s="4"/>
      <c r="F16" s="4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</row>
    <row r="17" spans="1:27" ht="18" x14ac:dyDescent="0.35">
      <c r="A17" s="33">
        <v>1</v>
      </c>
      <c r="B17" s="4"/>
      <c r="C17" s="39" t="s">
        <v>31</v>
      </c>
      <c r="D17" s="33">
        <v>15</v>
      </c>
      <c r="E17" s="33">
        <v>630</v>
      </c>
      <c r="F17" s="33">
        <f>D17*E17</f>
        <v>9450</v>
      </c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</row>
    <row r="18" spans="1:27" x14ac:dyDescent="0.3">
      <c r="A18" s="4"/>
      <c r="B18" s="4"/>
      <c r="C18" s="4"/>
      <c r="D18" s="4"/>
      <c r="E18" s="4"/>
      <c r="F18" s="4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</row>
    <row r="19" spans="1:27" x14ac:dyDescent="0.3">
      <c r="A19" s="4"/>
      <c r="B19" s="4"/>
      <c r="C19" s="4"/>
      <c r="D19" s="4"/>
      <c r="E19" s="4"/>
      <c r="F19" s="4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</row>
    <row r="20" spans="1:27" x14ac:dyDescent="0.3">
      <c r="A20" s="4"/>
      <c r="B20" s="4"/>
      <c r="C20" s="4"/>
      <c r="D20" s="4"/>
      <c r="E20" s="4"/>
      <c r="F20" s="4"/>
    </row>
    <row r="21" spans="1:27" x14ac:dyDescent="0.3">
      <c r="A21" s="4"/>
      <c r="B21" s="4"/>
      <c r="C21" s="4"/>
      <c r="D21" s="4"/>
      <c r="E21" s="4"/>
      <c r="F21" s="4"/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1"/>
      <c r="E30" s="28" t="s">
        <v>17</v>
      </c>
      <c r="F30" s="32">
        <f>F17</f>
        <v>9450</v>
      </c>
    </row>
    <row r="31" spans="1:27" ht="18.600000000000001" thickBot="1" x14ac:dyDescent="0.4">
      <c r="A31" s="5" t="s">
        <v>100</v>
      </c>
      <c r="B31" s="62"/>
      <c r="C31" s="62"/>
      <c r="D31" s="38"/>
      <c r="E31" s="29" t="s">
        <v>18</v>
      </c>
      <c r="F31" s="36">
        <f>F30*9/100</f>
        <v>850.5</v>
      </c>
    </row>
    <row r="32" spans="1:27" ht="15" thickBot="1" x14ac:dyDescent="0.35">
      <c r="A32" s="5" t="s">
        <v>97</v>
      </c>
      <c r="B32" s="62"/>
      <c r="C32" s="62"/>
      <c r="D32" s="38"/>
      <c r="E32" s="28" t="s">
        <v>22</v>
      </c>
      <c r="F32" s="36">
        <f>F30*9/100</f>
        <v>850.5</v>
      </c>
    </row>
    <row r="33" spans="1:6" ht="16.2" thickBot="1" x14ac:dyDescent="0.35">
      <c r="A33" s="7" t="s">
        <v>98</v>
      </c>
      <c r="B33" s="3"/>
      <c r="C33" s="3"/>
      <c r="D33" s="3"/>
      <c r="E33" s="30" t="s">
        <v>19</v>
      </c>
      <c r="F33" s="35">
        <f>F30+F31+F32</f>
        <v>11151</v>
      </c>
    </row>
    <row r="34" spans="1:6" ht="15" thickBot="1" x14ac:dyDescent="0.35">
      <c r="A34" s="73" t="str">
        <f>SpellNumber(F33)</f>
        <v xml:space="preserve">Rupees Eleven Thousand One Hundred FiftyOne Only </v>
      </c>
      <c r="B34" s="74"/>
      <c r="C34" s="74"/>
      <c r="D34" s="74"/>
      <c r="E34" s="74"/>
      <c r="F34" s="75"/>
    </row>
  </sheetData>
  <mergeCells count="13">
    <mergeCell ref="A34:F34"/>
    <mergeCell ref="A8:D8"/>
    <mergeCell ref="A9:D9"/>
    <mergeCell ref="A10:D10"/>
    <mergeCell ref="A11:D11"/>
    <mergeCell ref="L12:N12"/>
    <mergeCell ref="A13:F13"/>
    <mergeCell ref="A1:F1"/>
    <mergeCell ref="A2:F2"/>
    <mergeCell ref="A3:F3"/>
    <mergeCell ref="A4:F4"/>
    <mergeCell ref="A6:D6"/>
    <mergeCell ref="A7:D7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K15" sqref="K15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38"/>
      <c r="H6" s="13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</row>
    <row r="7" spans="1:27" ht="15.6" x14ac:dyDescent="0.3">
      <c r="A7" s="76" t="s">
        <v>32</v>
      </c>
      <c r="B7" s="77"/>
      <c r="C7" s="77"/>
      <c r="D7" s="77"/>
      <c r="E7" s="15" t="s">
        <v>3</v>
      </c>
      <c r="F7" s="17" t="s">
        <v>4</v>
      </c>
      <c r="G7" s="38"/>
      <c r="H7" s="18"/>
      <c r="I7" s="38"/>
      <c r="J7" s="38"/>
      <c r="K7" s="38"/>
      <c r="L7" s="38"/>
      <c r="M7" s="37"/>
      <c r="N7" s="37"/>
      <c r="O7" s="38"/>
      <c r="P7" s="38"/>
      <c r="Q7" s="10"/>
      <c r="R7" s="38"/>
      <c r="S7" s="38"/>
      <c r="T7" s="38"/>
      <c r="U7" s="38"/>
      <c r="V7" s="38"/>
      <c r="W7" s="38"/>
      <c r="X7" s="38"/>
      <c r="Y7" s="38"/>
      <c r="Z7" s="38"/>
      <c r="AA7" s="38"/>
    </row>
    <row r="8" spans="1:27" ht="15.6" x14ac:dyDescent="0.3">
      <c r="A8" s="76" t="s">
        <v>33</v>
      </c>
      <c r="B8" s="77"/>
      <c r="C8" s="77"/>
      <c r="D8" s="77"/>
      <c r="E8" s="15" t="s">
        <v>6</v>
      </c>
      <c r="F8" s="17">
        <v>380893</v>
      </c>
      <c r="G8" s="38"/>
      <c r="H8" s="12"/>
      <c r="I8" s="38"/>
      <c r="J8" s="38"/>
      <c r="K8" s="38"/>
      <c r="L8" s="38"/>
      <c r="M8" s="38"/>
      <c r="N8" s="38"/>
      <c r="O8" s="38"/>
      <c r="P8" s="38"/>
      <c r="Q8" s="11"/>
      <c r="R8" s="38"/>
      <c r="S8" s="38"/>
      <c r="T8" s="38"/>
      <c r="U8" s="38"/>
      <c r="V8" s="38"/>
      <c r="W8" s="38"/>
      <c r="X8" s="38"/>
      <c r="Y8" s="38"/>
      <c r="Z8" s="38"/>
      <c r="AA8" s="38"/>
    </row>
    <row r="9" spans="1:27" ht="15.6" x14ac:dyDescent="0.3">
      <c r="A9" s="76" t="s">
        <v>34</v>
      </c>
      <c r="B9" s="77"/>
      <c r="C9" s="77"/>
      <c r="D9" s="77"/>
      <c r="E9" s="15" t="s">
        <v>8</v>
      </c>
      <c r="F9" s="17" t="s">
        <v>9</v>
      </c>
      <c r="G9" s="38"/>
      <c r="H9" s="18"/>
      <c r="I9" s="38"/>
      <c r="J9" s="38"/>
      <c r="K9" s="43"/>
      <c r="L9" s="38"/>
      <c r="M9" s="38"/>
      <c r="N9" s="38"/>
      <c r="O9" s="38"/>
      <c r="P9" s="38"/>
      <c r="Q9" s="11"/>
      <c r="R9" s="38"/>
      <c r="S9" s="38"/>
      <c r="T9" s="38"/>
      <c r="U9" s="38"/>
      <c r="V9" s="38"/>
      <c r="W9" s="38"/>
      <c r="X9" s="38"/>
      <c r="Y9" s="38"/>
      <c r="Z9" s="38"/>
      <c r="AA9" s="38"/>
    </row>
    <row r="10" spans="1:27" ht="15.6" x14ac:dyDescent="0.3">
      <c r="A10" s="76" t="s">
        <v>35</v>
      </c>
      <c r="B10" s="77"/>
      <c r="C10" s="77"/>
      <c r="D10" s="77"/>
      <c r="E10" s="15" t="s">
        <v>11</v>
      </c>
      <c r="F10" s="17">
        <v>1687</v>
      </c>
      <c r="G10" s="38"/>
      <c r="H10" s="12"/>
      <c r="I10" s="38"/>
      <c r="J10" s="38"/>
      <c r="K10" s="38"/>
      <c r="L10" s="38"/>
      <c r="M10" s="38"/>
      <c r="N10" s="38"/>
      <c r="O10" s="38"/>
      <c r="P10" s="38"/>
      <c r="Q10" s="11"/>
      <c r="R10" s="38"/>
      <c r="S10" s="38"/>
      <c r="T10" s="38"/>
      <c r="U10" s="38"/>
      <c r="V10" s="38"/>
      <c r="W10" s="38"/>
      <c r="X10" s="38"/>
      <c r="Y10" s="38"/>
      <c r="Z10" s="38"/>
      <c r="AA10" s="38"/>
    </row>
    <row r="11" spans="1:27" ht="23.4" thickBot="1" x14ac:dyDescent="0.35">
      <c r="A11" s="78" t="s">
        <v>36</v>
      </c>
      <c r="B11" s="79"/>
      <c r="C11" s="79"/>
      <c r="D11" s="79"/>
      <c r="E11" s="24"/>
      <c r="F11" s="24"/>
      <c r="G11" s="38"/>
      <c r="I11" s="38"/>
      <c r="J11" s="38"/>
      <c r="K11" s="38"/>
      <c r="L11" s="38"/>
      <c r="M11" s="38"/>
      <c r="N11" s="38"/>
      <c r="O11" s="38"/>
      <c r="P11" s="38"/>
      <c r="Q11" s="11"/>
      <c r="R11" s="38"/>
      <c r="S11" s="38"/>
      <c r="T11" s="38"/>
      <c r="U11" s="38"/>
      <c r="V11" s="38"/>
      <c r="W11" s="38"/>
      <c r="X11" s="38"/>
      <c r="Y11" s="38"/>
      <c r="Z11" s="38"/>
      <c r="AA11" s="38"/>
    </row>
    <row r="12" spans="1:27" x14ac:dyDescent="0.3">
      <c r="F12" s="38"/>
      <c r="G12" s="38"/>
      <c r="H12" s="38"/>
      <c r="I12" s="38"/>
      <c r="J12" s="38"/>
      <c r="K12" s="38"/>
      <c r="L12" s="71"/>
      <c r="M12" s="71"/>
      <c r="N12" s="71"/>
      <c r="O12" s="38"/>
      <c r="P12" s="38"/>
      <c r="Q12" s="11"/>
      <c r="R12" s="38"/>
      <c r="S12" s="38"/>
      <c r="T12" s="38"/>
      <c r="U12" s="38"/>
      <c r="V12" s="38"/>
      <c r="W12" s="38"/>
      <c r="X12" s="38"/>
      <c r="Y12" s="38"/>
      <c r="Z12" s="38"/>
      <c r="AA12" s="38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23"/>
      <c r="I13" s="23"/>
      <c r="K13" s="38"/>
      <c r="L13" s="38"/>
      <c r="M13" s="38"/>
      <c r="N13" s="38"/>
      <c r="O13" s="38"/>
      <c r="P13" s="38"/>
      <c r="Q13" s="11"/>
      <c r="R13" s="38"/>
      <c r="S13" s="38"/>
      <c r="T13" s="38"/>
      <c r="U13" s="38"/>
      <c r="V13" s="38"/>
      <c r="W13" s="38"/>
      <c r="X13" s="38"/>
      <c r="Y13" s="38"/>
      <c r="Z13" s="38"/>
      <c r="AA13" s="38"/>
    </row>
    <row r="14" spans="1:27" ht="15" thickBot="1" x14ac:dyDescent="0.35"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</row>
    <row r="16" spans="1:27" x14ac:dyDescent="0.3">
      <c r="A16" s="5"/>
      <c r="B16" s="4"/>
      <c r="C16" s="38"/>
      <c r="D16" s="4"/>
      <c r="E16" s="4"/>
      <c r="F16" s="4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</row>
    <row r="17" spans="1:27" ht="15.6" x14ac:dyDescent="0.3">
      <c r="A17" s="33">
        <v>1</v>
      </c>
      <c r="B17" s="4"/>
      <c r="C17" s="46" t="s">
        <v>37</v>
      </c>
      <c r="D17" s="33">
        <v>16</v>
      </c>
      <c r="E17" s="33">
        <v>550</v>
      </c>
      <c r="F17" s="33">
        <f>D17*E17</f>
        <v>8800</v>
      </c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</row>
    <row r="18" spans="1:27" x14ac:dyDescent="0.3">
      <c r="A18" s="4"/>
      <c r="B18" s="4"/>
      <c r="C18" s="4"/>
      <c r="D18" s="4"/>
      <c r="E18" s="4"/>
      <c r="F18" s="4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</row>
    <row r="19" spans="1:27" x14ac:dyDescent="0.3">
      <c r="A19" s="4"/>
      <c r="B19" s="4"/>
      <c r="C19" s="4"/>
      <c r="D19" s="4"/>
      <c r="E19" s="4"/>
      <c r="F19" s="4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</row>
    <row r="20" spans="1:27" x14ac:dyDescent="0.3">
      <c r="A20" s="4"/>
      <c r="B20" s="4"/>
      <c r="C20" s="4"/>
      <c r="D20" s="4"/>
      <c r="E20" s="4"/>
      <c r="F20" s="4"/>
    </row>
    <row r="21" spans="1:27" x14ac:dyDescent="0.3">
      <c r="A21" s="4"/>
      <c r="B21" s="4"/>
      <c r="C21" s="4"/>
      <c r="D21" s="4"/>
      <c r="E21" s="4"/>
      <c r="F21" s="4"/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1"/>
      <c r="E30" s="28" t="s">
        <v>17</v>
      </c>
      <c r="F30" s="32">
        <f>F17</f>
        <v>8800</v>
      </c>
    </row>
    <row r="31" spans="1:27" ht="18.600000000000001" thickBot="1" x14ac:dyDescent="0.4">
      <c r="A31" s="5" t="s">
        <v>100</v>
      </c>
      <c r="B31" s="62"/>
      <c r="C31" s="62"/>
      <c r="D31" s="38"/>
      <c r="E31" s="29" t="s">
        <v>18</v>
      </c>
      <c r="F31" s="36">
        <f>F30*9/100</f>
        <v>792</v>
      </c>
    </row>
    <row r="32" spans="1:27" ht="15" thickBot="1" x14ac:dyDescent="0.35">
      <c r="A32" s="5" t="s">
        <v>97</v>
      </c>
      <c r="B32" s="62"/>
      <c r="C32" s="62"/>
      <c r="D32" s="38"/>
      <c r="E32" s="28" t="s">
        <v>22</v>
      </c>
      <c r="F32" s="36">
        <f>F30*9/100</f>
        <v>792</v>
      </c>
    </row>
    <row r="33" spans="1:6" ht="16.2" thickBot="1" x14ac:dyDescent="0.35">
      <c r="A33" s="7" t="s">
        <v>98</v>
      </c>
      <c r="B33" s="3"/>
      <c r="C33" s="3"/>
      <c r="D33" s="3"/>
      <c r="E33" s="30" t="s">
        <v>19</v>
      </c>
      <c r="F33" s="35">
        <f>F30+F31+F32</f>
        <v>10384</v>
      </c>
    </row>
    <row r="34" spans="1:6" ht="15" thickBot="1" x14ac:dyDescent="0.35">
      <c r="A34" s="73" t="str">
        <f>SpellNumber(F33)</f>
        <v xml:space="preserve">Rupees Ten Thousand Three Hundred EightyFour Only </v>
      </c>
      <c r="B34" s="74"/>
      <c r="C34" s="74"/>
      <c r="D34" s="74"/>
      <c r="E34" s="74"/>
      <c r="F34" s="75"/>
    </row>
  </sheetData>
  <mergeCells count="13">
    <mergeCell ref="A34:F34"/>
    <mergeCell ref="A8:D8"/>
    <mergeCell ref="A9:D9"/>
    <mergeCell ref="A10:D10"/>
    <mergeCell ref="A11:D11"/>
    <mergeCell ref="L12:N12"/>
    <mergeCell ref="A13:F13"/>
    <mergeCell ref="A1:F1"/>
    <mergeCell ref="A2:F2"/>
    <mergeCell ref="A3:F3"/>
    <mergeCell ref="A4:F4"/>
    <mergeCell ref="A6:D6"/>
    <mergeCell ref="A7:D7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G18" sqref="G18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38"/>
      <c r="H6" s="13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</row>
    <row r="7" spans="1:27" ht="15.6" x14ac:dyDescent="0.3">
      <c r="A7" s="76" t="s">
        <v>38</v>
      </c>
      <c r="B7" s="77"/>
      <c r="C7" s="77"/>
      <c r="D7" s="77"/>
      <c r="E7" s="15" t="s">
        <v>3</v>
      </c>
      <c r="F7" s="17" t="s">
        <v>4</v>
      </c>
      <c r="G7" s="38"/>
      <c r="H7" s="18"/>
      <c r="I7" s="38"/>
      <c r="J7" s="38"/>
      <c r="K7" s="38"/>
      <c r="L7" s="38"/>
      <c r="M7" s="37"/>
      <c r="N7" s="37"/>
      <c r="O7" s="38"/>
      <c r="P7" s="38"/>
      <c r="Q7" s="10"/>
      <c r="R7" s="38"/>
      <c r="S7" s="38"/>
      <c r="T7" s="38"/>
      <c r="U7" s="38"/>
      <c r="V7" s="38"/>
      <c r="W7" s="38"/>
      <c r="X7" s="38"/>
      <c r="Y7" s="38"/>
      <c r="Z7" s="38"/>
      <c r="AA7" s="38"/>
    </row>
    <row r="8" spans="1:27" ht="15.6" x14ac:dyDescent="0.3">
      <c r="A8" s="76" t="s">
        <v>39</v>
      </c>
      <c r="B8" s="77"/>
      <c r="C8" s="77"/>
      <c r="D8" s="77"/>
      <c r="E8" s="15" t="s">
        <v>6</v>
      </c>
      <c r="F8" s="17">
        <v>380893</v>
      </c>
      <c r="G8" s="38"/>
      <c r="H8" s="12"/>
      <c r="I8" s="38"/>
      <c r="J8" s="38"/>
      <c r="K8" s="38"/>
      <c r="L8" s="38"/>
      <c r="M8" s="38"/>
      <c r="N8" s="38"/>
      <c r="O8" s="38"/>
      <c r="P8" s="38"/>
      <c r="Q8" s="11"/>
      <c r="R8" s="38"/>
      <c r="S8" s="38"/>
      <c r="T8" s="38"/>
      <c r="U8" s="38"/>
      <c r="V8" s="38"/>
      <c r="W8" s="38"/>
      <c r="X8" s="38"/>
      <c r="Y8" s="38"/>
      <c r="Z8" s="38"/>
      <c r="AA8" s="38"/>
    </row>
    <row r="9" spans="1:27" ht="15.6" x14ac:dyDescent="0.3">
      <c r="A9" s="76" t="s">
        <v>40</v>
      </c>
      <c r="B9" s="77"/>
      <c r="C9" s="77"/>
      <c r="D9" s="77"/>
      <c r="E9" s="15" t="s">
        <v>8</v>
      </c>
      <c r="F9" s="17" t="s">
        <v>9</v>
      </c>
      <c r="G9" s="38"/>
      <c r="H9" s="18"/>
      <c r="I9" s="38"/>
      <c r="J9" s="38"/>
      <c r="K9" s="43"/>
      <c r="L9" s="38"/>
      <c r="M9" s="38"/>
      <c r="N9" s="38"/>
      <c r="O9" s="38"/>
      <c r="P9" s="38"/>
      <c r="Q9" s="11"/>
      <c r="R9" s="38"/>
      <c r="S9" s="38"/>
      <c r="T9" s="38"/>
      <c r="U9" s="38"/>
      <c r="V9" s="38"/>
      <c r="W9" s="38"/>
      <c r="X9" s="38"/>
      <c r="Y9" s="38"/>
      <c r="Z9" s="38"/>
      <c r="AA9" s="38"/>
    </row>
    <row r="10" spans="1:27" ht="15.6" x14ac:dyDescent="0.3">
      <c r="A10" s="76"/>
      <c r="B10" s="77"/>
      <c r="C10" s="77"/>
      <c r="D10" s="77"/>
      <c r="E10" s="15" t="s">
        <v>11</v>
      </c>
      <c r="F10" s="17">
        <v>1688</v>
      </c>
      <c r="G10" s="38"/>
      <c r="H10" s="12"/>
      <c r="I10" s="38"/>
      <c r="J10" s="38"/>
      <c r="K10" s="38"/>
      <c r="L10" s="38"/>
      <c r="M10" s="38"/>
      <c r="N10" s="38"/>
      <c r="O10" s="38"/>
      <c r="P10" s="38"/>
      <c r="Q10" s="11"/>
      <c r="R10" s="38"/>
      <c r="S10" s="38"/>
      <c r="T10" s="38"/>
      <c r="U10" s="38"/>
      <c r="V10" s="38"/>
      <c r="W10" s="38"/>
      <c r="X10" s="38"/>
      <c r="Y10" s="38"/>
      <c r="Z10" s="38"/>
      <c r="AA10" s="38"/>
    </row>
    <row r="11" spans="1:27" ht="23.4" thickBot="1" x14ac:dyDescent="0.35">
      <c r="A11" s="78" t="s">
        <v>41</v>
      </c>
      <c r="B11" s="79"/>
      <c r="C11" s="79"/>
      <c r="D11" s="79"/>
      <c r="E11" s="24"/>
      <c r="F11" s="24"/>
      <c r="G11" s="38"/>
      <c r="I11" s="38"/>
      <c r="J11" s="38"/>
      <c r="K11" s="43"/>
      <c r="L11" s="38"/>
      <c r="M11" s="38"/>
      <c r="N11" s="38"/>
      <c r="O11" s="38"/>
      <c r="P11" s="38"/>
      <c r="Q11" s="11"/>
      <c r="R11" s="38"/>
      <c r="S11" s="38"/>
      <c r="T11" s="38"/>
      <c r="U11" s="38"/>
      <c r="V11" s="38"/>
      <c r="W11" s="38"/>
      <c r="X11" s="38"/>
      <c r="Y11" s="38"/>
      <c r="Z11" s="38"/>
      <c r="AA11" s="38"/>
    </row>
    <row r="12" spans="1:27" x14ac:dyDescent="0.3">
      <c r="F12" s="38"/>
      <c r="G12" s="38"/>
      <c r="H12" s="38"/>
      <c r="I12" s="38"/>
      <c r="J12" s="38"/>
      <c r="K12" s="38"/>
      <c r="L12" s="71"/>
      <c r="M12" s="71"/>
      <c r="N12" s="71"/>
      <c r="O12" s="38"/>
      <c r="P12" s="38"/>
      <c r="Q12" s="11"/>
      <c r="R12" s="38"/>
      <c r="S12" s="38"/>
      <c r="T12" s="38"/>
      <c r="U12" s="38"/>
      <c r="V12" s="38"/>
      <c r="W12" s="38"/>
      <c r="X12" s="38"/>
      <c r="Y12" s="38"/>
      <c r="Z12" s="38"/>
      <c r="AA12" s="38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23"/>
      <c r="I13" s="23"/>
      <c r="K13" s="38"/>
      <c r="L13" s="38"/>
      <c r="M13" s="38"/>
      <c r="N13" s="38"/>
      <c r="O13" s="38"/>
      <c r="P13" s="38"/>
      <c r="Q13" s="11"/>
      <c r="R13" s="38"/>
      <c r="S13" s="38"/>
      <c r="T13" s="38"/>
      <c r="U13" s="38"/>
      <c r="V13" s="38"/>
      <c r="W13" s="38"/>
      <c r="X13" s="38"/>
      <c r="Y13" s="38"/>
      <c r="Z13" s="38"/>
      <c r="AA13" s="38"/>
    </row>
    <row r="14" spans="1:27" ht="16.2" thickBot="1" x14ac:dyDescent="0.35">
      <c r="J14" s="43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</row>
    <row r="16" spans="1:27" x14ac:dyDescent="0.3">
      <c r="A16" s="5"/>
      <c r="B16" s="4"/>
      <c r="C16" s="38"/>
      <c r="D16" s="4"/>
      <c r="E16" s="4"/>
      <c r="F16" s="4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</row>
    <row r="17" spans="1:27" ht="17.399999999999999" x14ac:dyDescent="0.3">
      <c r="A17" s="33">
        <v>1</v>
      </c>
      <c r="B17" s="4"/>
      <c r="C17" s="47" t="s">
        <v>42</v>
      </c>
      <c r="D17" s="33">
        <v>15</v>
      </c>
      <c r="E17" s="33">
        <v>980</v>
      </c>
      <c r="F17" s="33">
        <f>D17*E17</f>
        <v>14700</v>
      </c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</row>
    <row r="18" spans="1:27" ht="17.399999999999999" x14ac:dyDescent="0.3">
      <c r="A18" s="33">
        <v>2</v>
      </c>
      <c r="B18" s="4"/>
      <c r="C18" s="47" t="s">
        <v>43</v>
      </c>
      <c r="D18" s="33">
        <v>8</v>
      </c>
      <c r="E18" s="33">
        <v>630</v>
      </c>
      <c r="F18" s="33">
        <f>D18*E18</f>
        <v>5040</v>
      </c>
      <c r="K18" s="43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</row>
    <row r="19" spans="1:27" x14ac:dyDescent="0.3">
      <c r="A19" s="4"/>
      <c r="B19" s="4"/>
      <c r="C19" s="4"/>
      <c r="D19" s="4"/>
      <c r="E19" s="4"/>
      <c r="F19" s="4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</row>
    <row r="20" spans="1:27" x14ac:dyDescent="0.3">
      <c r="A20" s="4"/>
      <c r="B20" s="4"/>
      <c r="C20" s="4"/>
      <c r="D20" s="4"/>
      <c r="E20" s="4"/>
      <c r="F20" s="4"/>
    </row>
    <row r="21" spans="1:27" x14ac:dyDescent="0.3">
      <c r="A21" s="4"/>
      <c r="B21" s="4"/>
      <c r="C21" s="4"/>
      <c r="D21" s="4"/>
      <c r="E21" s="4"/>
      <c r="F21" s="4"/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1"/>
      <c r="E30" s="28" t="s">
        <v>17</v>
      </c>
      <c r="F30" s="32">
        <f>F17+F18</f>
        <v>19740</v>
      </c>
    </row>
    <row r="31" spans="1:27" ht="18.600000000000001" thickBot="1" x14ac:dyDescent="0.4">
      <c r="A31" s="5" t="s">
        <v>100</v>
      </c>
      <c r="B31" s="62"/>
      <c r="C31" s="62"/>
      <c r="D31" s="38"/>
      <c r="E31" s="29" t="s">
        <v>18</v>
      </c>
      <c r="F31" s="36">
        <f>F30*9/100</f>
        <v>1776.6</v>
      </c>
    </row>
    <row r="32" spans="1:27" ht="15" thickBot="1" x14ac:dyDescent="0.35">
      <c r="A32" s="5" t="s">
        <v>97</v>
      </c>
      <c r="B32" s="62"/>
      <c r="C32" s="62"/>
      <c r="D32" s="38"/>
      <c r="E32" s="28" t="s">
        <v>22</v>
      </c>
      <c r="F32" s="36">
        <f>F30*9/100</f>
        <v>1776.6</v>
      </c>
    </row>
    <row r="33" spans="1:6" ht="16.2" thickBot="1" x14ac:dyDescent="0.35">
      <c r="A33" s="7" t="s">
        <v>98</v>
      </c>
      <c r="B33" s="3"/>
      <c r="C33" s="3"/>
      <c r="D33" s="3"/>
      <c r="E33" s="30" t="s">
        <v>19</v>
      </c>
      <c r="F33" s="35">
        <f>F30+F31+F32</f>
        <v>23293.199999999997</v>
      </c>
    </row>
    <row r="34" spans="1:6" ht="15" thickBot="1" x14ac:dyDescent="0.35">
      <c r="A34" s="73" t="str">
        <f>SpellNumber(F33)</f>
        <v xml:space="preserve">Rupees TwentyThree Thousand Two Hundred NinetyThree Paise Twenty Only </v>
      </c>
      <c r="B34" s="74"/>
      <c r="C34" s="74"/>
      <c r="D34" s="74"/>
      <c r="E34" s="74"/>
      <c r="F34" s="75"/>
    </row>
  </sheetData>
  <mergeCells count="13">
    <mergeCell ref="A34:F34"/>
    <mergeCell ref="A8:D8"/>
    <mergeCell ref="A9:D9"/>
    <mergeCell ref="A10:D10"/>
    <mergeCell ref="A11:D11"/>
    <mergeCell ref="L12:N12"/>
    <mergeCell ref="A13:F13"/>
    <mergeCell ref="A1:F1"/>
    <mergeCell ref="A2:F2"/>
    <mergeCell ref="A3:F3"/>
    <mergeCell ref="A4:F4"/>
    <mergeCell ref="A6:D6"/>
    <mergeCell ref="A7:D7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D24" sqref="D24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38"/>
      <c r="H6" s="13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</row>
    <row r="7" spans="1:27" ht="15.6" x14ac:dyDescent="0.3">
      <c r="A7" s="76" t="s">
        <v>44</v>
      </c>
      <c r="B7" s="77"/>
      <c r="C7" s="77"/>
      <c r="D7" s="77"/>
      <c r="E7" s="15" t="s">
        <v>3</v>
      </c>
      <c r="F7" s="17" t="s">
        <v>4</v>
      </c>
      <c r="G7" s="38"/>
      <c r="H7" s="18"/>
      <c r="I7" s="38"/>
      <c r="J7" s="38"/>
      <c r="K7" s="38"/>
      <c r="L7" s="38"/>
      <c r="M7" s="37"/>
      <c r="N7" s="37"/>
      <c r="O7" s="38"/>
      <c r="P7" s="38"/>
      <c r="Q7" s="10"/>
      <c r="R7" s="38"/>
      <c r="S7" s="38"/>
      <c r="T7" s="38"/>
      <c r="U7" s="38"/>
      <c r="V7" s="38"/>
      <c r="W7" s="38"/>
      <c r="X7" s="38"/>
      <c r="Y7" s="38"/>
      <c r="Z7" s="38"/>
      <c r="AA7" s="38"/>
    </row>
    <row r="8" spans="1:27" ht="15.6" x14ac:dyDescent="0.3">
      <c r="A8" s="86" t="s">
        <v>45</v>
      </c>
      <c r="B8" s="87"/>
      <c r="C8" s="87"/>
      <c r="D8" s="87"/>
      <c r="E8" s="15" t="s">
        <v>6</v>
      </c>
      <c r="F8" s="17">
        <v>380893</v>
      </c>
      <c r="G8" s="38"/>
      <c r="H8" s="12"/>
      <c r="I8" s="38"/>
      <c r="J8" s="38"/>
      <c r="K8" s="38"/>
      <c r="L8" s="38"/>
      <c r="M8" s="38"/>
      <c r="N8" s="38"/>
      <c r="O8" s="38"/>
      <c r="P8" s="38"/>
      <c r="Q8" s="11"/>
      <c r="R8" s="38"/>
      <c r="S8" s="38"/>
      <c r="T8" s="38"/>
      <c r="U8" s="38"/>
      <c r="V8" s="38"/>
      <c r="W8" s="38"/>
      <c r="X8" s="38"/>
      <c r="Y8" s="38"/>
      <c r="Z8" s="38"/>
      <c r="AA8" s="38"/>
    </row>
    <row r="9" spans="1:27" ht="15.6" x14ac:dyDescent="0.3">
      <c r="A9" s="86" t="s">
        <v>46</v>
      </c>
      <c r="B9" s="87"/>
      <c r="C9" s="87"/>
      <c r="D9" s="87"/>
      <c r="E9" s="15" t="s">
        <v>8</v>
      </c>
      <c r="F9" s="17" t="s">
        <v>9</v>
      </c>
      <c r="G9" s="38"/>
      <c r="H9" s="18"/>
      <c r="I9" s="43"/>
      <c r="J9" s="38"/>
      <c r="K9" s="43"/>
      <c r="L9" s="38"/>
      <c r="M9" s="38"/>
      <c r="N9" s="38"/>
      <c r="O9" s="38"/>
      <c r="P9" s="38"/>
      <c r="Q9" s="11"/>
      <c r="R9" s="38"/>
      <c r="S9" s="38"/>
      <c r="T9" s="38"/>
      <c r="U9" s="38"/>
      <c r="V9" s="38"/>
      <c r="W9" s="38"/>
      <c r="X9" s="38"/>
      <c r="Y9" s="38"/>
      <c r="Z9" s="38"/>
      <c r="AA9" s="38"/>
    </row>
    <row r="10" spans="1:27" ht="15.6" x14ac:dyDescent="0.3">
      <c r="A10" s="76"/>
      <c r="B10" s="77"/>
      <c r="C10" s="77"/>
      <c r="D10" s="77"/>
      <c r="E10" s="15" t="s">
        <v>11</v>
      </c>
      <c r="F10" s="17">
        <v>1691</v>
      </c>
      <c r="G10" s="38"/>
      <c r="H10" s="12"/>
      <c r="I10" s="38"/>
      <c r="J10" s="38"/>
      <c r="K10" s="38"/>
      <c r="L10" s="38"/>
      <c r="M10" s="38"/>
      <c r="N10" s="38"/>
      <c r="O10" s="38"/>
      <c r="P10" s="38"/>
      <c r="Q10" s="11"/>
      <c r="R10" s="38"/>
      <c r="S10" s="38"/>
      <c r="T10" s="38"/>
      <c r="U10" s="38"/>
      <c r="V10" s="38"/>
      <c r="W10" s="38"/>
      <c r="X10" s="38"/>
      <c r="Y10" s="38"/>
      <c r="Z10" s="38"/>
      <c r="AA10" s="38"/>
    </row>
    <row r="11" spans="1:27" ht="23.4" thickBot="1" x14ac:dyDescent="0.35">
      <c r="A11" s="78" t="s">
        <v>47</v>
      </c>
      <c r="B11" s="79"/>
      <c r="C11" s="79"/>
      <c r="D11" s="79"/>
      <c r="E11" s="24"/>
      <c r="F11" s="24"/>
      <c r="G11" s="38"/>
      <c r="I11" s="43"/>
      <c r="J11" s="38"/>
      <c r="K11" s="43"/>
      <c r="L11" s="38"/>
      <c r="M11" s="38"/>
      <c r="N11" s="38"/>
      <c r="O11" s="38"/>
      <c r="P11" s="38"/>
      <c r="Q11" s="11"/>
      <c r="R11" s="38"/>
      <c r="S11" s="38"/>
      <c r="T11" s="38"/>
      <c r="U11" s="38"/>
      <c r="V11" s="38"/>
      <c r="W11" s="38"/>
      <c r="X11" s="38"/>
      <c r="Y11" s="38"/>
      <c r="Z11" s="38"/>
      <c r="AA11" s="38"/>
    </row>
    <row r="12" spans="1:27" x14ac:dyDescent="0.3">
      <c r="F12" s="38"/>
      <c r="G12" s="38"/>
      <c r="H12" s="38"/>
      <c r="I12" s="38"/>
      <c r="J12" s="38"/>
      <c r="K12" s="38"/>
      <c r="L12" s="71"/>
      <c r="M12" s="71"/>
      <c r="N12" s="71"/>
      <c r="O12" s="38"/>
      <c r="P12" s="38"/>
      <c r="Q12" s="11"/>
      <c r="R12" s="38"/>
      <c r="S12" s="38"/>
      <c r="T12" s="38"/>
      <c r="U12" s="38"/>
      <c r="V12" s="38"/>
      <c r="W12" s="38"/>
      <c r="X12" s="38"/>
      <c r="Y12" s="38"/>
      <c r="Z12" s="38"/>
      <c r="AA12" s="38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23"/>
      <c r="I13" s="23"/>
      <c r="K13" s="38"/>
      <c r="L13" s="38"/>
      <c r="M13" s="38"/>
      <c r="N13" s="38"/>
      <c r="O13" s="38"/>
      <c r="P13" s="38"/>
      <c r="Q13" s="11"/>
      <c r="R13" s="38"/>
      <c r="S13" s="38"/>
      <c r="T13" s="38"/>
      <c r="U13" s="38"/>
      <c r="V13" s="38"/>
      <c r="W13" s="38"/>
      <c r="X13" s="38"/>
      <c r="Y13" s="38"/>
      <c r="Z13" s="38"/>
      <c r="AA13" s="38"/>
    </row>
    <row r="14" spans="1:27" ht="16.2" thickBot="1" x14ac:dyDescent="0.35">
      <c r="J14" s="43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</row>
    <row r="16" spans="1:27" x14ac:dyDescent="0.3">
      <c r="A16" s="5"/>
      <c r="B16" s="4"/>
      <c r="C16" s="38"/>
      <c r="D16" s="4"/>
      <c r="E16" s="4"/>
      <c r="F16" s="4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</row>
    <row r="17" spans="1:27" ht="18" x14ac:dyDescent="0.35">
      <c r="A17" s="33">
        <v>1</v>
      </c>
      <c r="B17" s="4"/>
      <c r="C17" s="42" t="s">
        <v>48</v>
      </c>
      <c r="D17" s="33">
        <v>14</v>
      </c>
      <c r="E17" s="33">
        <v>630</v>
      </c>
      <c r="F17" s="33">
        <f>D17*E17</f>
        <v>8820</v>
      </c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</row>
    <row r="18" spans="1:27" ht="15.6" x14ac:dyDescent="0.3">
      <c r="A18" s="33">
        <v>2</v>
      </c>
      <c r="B18" s="4"/>
      <c r="C18" s="43" t="s">
        <v>49</v>
      </c>
      <c r="D18" s="33">
        <v>5</v>
      </c>
      <c r="E18" s="33">
        <v>450</v>
      </c>
      <c r="F18" s="33">
        <f>D18*E18</f>
        <v>2250</v>
      </c>
      <c r="K18" s="43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</row>
    <row r="19" spans="1:27" ht="15.6" x14ac:dyDescent="0.3">
      <c r="A19" s="33">
        <v>3</v>
      </c>
      <c r="B19" s="4"/>
      <c r="C19" s="43" t="s">
        <v>50</v>
      </c>
      <c r="D19" s="33">
        <v>13</v>
      </c>
      <c r="E19" s="33">
        <v>630</v>
      </c>
      <c r="F19" s="33">
        <f t="shared" ref="F19:F21" si="0">D19*E19</f>
        <v>8190</v>
      </c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</row>
    <row r="20" spans="1:27" x14ac:dyDescent="0.3">
      <c r="A20" s="33">
        <v>4</v>
      </c>
      <c r="B20" s="4"/>
      <c r="C20" s="48" t="s">
        <v>51</v>
      </c>
      <c r="D20" s="33">
        <v>0</v>
      </c>
      <c r="E20" s="33">
        <v>800</v>
      </c>
      <c r="F20" s="33">
        <f t="shared" si="0"/>
        <v>0</v>
      </c>
    </row>
    <row r="21" spans="1:27" ht="15.6" x14ac:dyDescent="0.3">
      <c r="A21" s="33">
        <v>5</v>
      </c>
      <c r="B21" s="4"/>
      <c r="C21" s="45" t="s">
        <v>52</v>
      </c>
      <c r="D21" s="33">
        <v>0</v>
      </c>
      <c r="E21" s="33">
        <v>800</v>
      </c>
      <c r="F21" s="33">
        <f t="shared" si="0"/>
        <v>0</v>
      </c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1"/>
      <c r="E30" s="28" t="s">
        <v>17</v>
      </c>
      <c r="F30" s="32">
        <f>F17+F18+F19+F20+F21</f>
        <v>19260</v>
      </c>
    </row>
    <row r="31" spans="1:27" ht="18.600000000000001" thickBot="1" x14ac:dyDescent="0.4">
      <c r="A31" s="5" t="s">
        <v>100</v>
      </c>
      <c r="B31" s="62"/>
      <c r="C31" s="62"/>
      <c r="D31" s="38"/>
      <c r="E31" s="29" t="s">
        <v>18</v>
      </c>
      <c r="F31" s="36">
        <f>F30*9/100</f>
        <v>1733.4</v>
      </c>
    </row>
    <row r="32" spans="1:27" ht="15" thickBot="1" x14ac:dyDescent="0.35">
      <c r="A32" s="5" t="s">
        <v>97</v>
      </c>
      <c r="B32" s="62"/>
      <c r="C32" s="62"/>
      <c r="D32" s="38"/>
      <c r="E32" s="28" t="s">
        <v>22</v>
      </c>
      <c r="F32" s="36">
        <f>F30*9/100</f>
        <v>1733.4</v>
      </c>
    </row>
    <row r="33" spans="1:6" ht="16.2" thickBot="1" x14ac:dyDescent="0.35">
      <c r="A33" s="7" t="s">
        <v>98</v>
      </c>
      <c r="B33" s="3"/>
      <c r="C33" s="3"/>
      <c r="D33" s="3"/>
      <c r="E33" s="30" t="s">
        <v>19</v>
      </c>
      <c r="F33" s="35">
        <f>F30+F31+F32</f>
        <v>22726.800000000003</v>
      </c>
    </row>
    <row r="34" spans="1:6" ht="15" thickBot="1" x14ac:dyDescent="0.35">
      <c r="A34" s="73" t="str">
        <f>SpellNumber(F33)</f>
        <v xml:space="preserve">Rupees TwentyTwo Thousand Seven Hundred TwentySix Paise Eighty Only </v>
      </c>
      <c r="B34" s="74"/>
      <c r="C34" s="74"/>
      <c r="D34" s="74"/>
      <c r="E34" s="74"/>
      <c r="F34" s="75"/>
    </row>
  </sheetData>
  <mergeCells count="13">
    <mergeCell ref="A34:F34"/>
    <mergeCell ref="A8:D8"/>
    <mergeCell ref="A9:D9"/>
    <mergeCell ref="A10:D10"/>
    <mergeCell ref="A11:D11"/>
    <mergeCell ref="L12:N12"/>
    <mergeCell ref="A13:F13"/>
    <mergeCell ref="A1:F1"/>
    <mergeCell ref="A2:F2"/>
    <mergeCell ref="A3:F3"/>
    <mergeCell ref="A4:F4"/>
    <mergeCell ref="A6:D6"/>
    <mergeCell ref="A7:D7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topLeftCell="A4" workbookViewId="0">
      <selection activeCell="G20" sqref="G20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38"/>
      <c r="H6" s="13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</row>
    <row r="7" spans="1:27" ht="15.6" x14ac:dyDescent="0.3">
      <c r="A7" s="76" t="s">
        <v>53</v>
      </c>
      <c r="B7" s="77"/>
      <c r="C7" s="77"/>
      <c r="D7" s="77"/>
      <c r="E7" s="15" t="s">
        <v>3</v>
      </c>
      <c r="F7" s="17" t="s">
        <v>4</v>
      </c>
      <c r="G7" s="38"/>
      <c r="H7" s="18"/>
      <c r="I7" s="38"/>
      <c r="J7" s="43"/>
      <c r="K7" s="38"/>
      <c r="L7" s="38"/>
      <c r="M7" s="37"/>
      <c r="N7" s="37"/>
      <c r="O7" s="38"/>
      <c r="P7" s="38"/>
      <c r="Q7" s="10"/>
      <c r="R7" s="38"/>
      <c r="S7" s="38"/>
      <c r="T7" s="38"/>
      <c r="U7" s="38"/>
      <c r="V7" s="38"/>
      <c r="W7" s="38"/>
      <c r="X7" s="38"/>
      <c r="Y7" s="38"/>
      <c r="Z7" s="38"/>
      <c r="AA7" s="38"/>
    </row>
    <row r="8" spans="1:27" ht="15.6" x14ac:dyDescent="0.3">
      <c r="A8" s="88" t="s">
        <v>54</v>
      </c>
      <c r="B8" s="89"/>
      <c r="C8" s="89"/>
      <c r="D8" s="89"/>
      <c r="E8" s="15" t="s">
        <v>6</v>
      </c>
      <c r="F8" s="17">
        <v>380893</v>
      </c>
      <c r="G8" s="38"/>
      <c r="H8" s="12"/>
      <c r="I8" s="38"/>
      <c r="J8" s="38"/>
      <c r="K8" s="38"/>
      <c r="L8" s="38"/>
      <c r="M8" s="38"/>
      <c r="N8" s="38"/>
      <c r="O8" s="38"/>
      <c r="P8" s="38"/>
      <c r="Q8" s="11"/>
      <c r="R8" s="38"/>
      <c r="S8" s="38"/>
      <c r="T8" s="38"/>
      <c r="U8" s="38"/>
      <c r="V8" s="38"/>
      <c r="W8" s="38"/>
      <c r="X8" s="38"/>
      <c r="Y8" s="38"/>
      <c r="Z8" s="38"/>
      <c r="AA8" s="38"/>
    </row>
    <row r="9" spans="1:27" ht="15.6" x14ac:dyDescent="0.3">
      <c r="A9" s="90" t="s">
        <v>55</v>
      </c>
      <c r="B9" s="91"/>
      <c r="C9" s="91"/>
      <c r="D9" s="91"/>
      <c r="E9" s="15" t="s">
        <v>8</v>
      </c>
      <c r="F9" s="17" t="s">
        <v>9</v>
      </c>
      <c r="G9" s="38"/>
      <c r="H9" s="18"/>
      <c r="I9" s="43"/>
      <c r="J9" s="38"/>
      <c r="K9" s="43"/>
      <c r="L9" s="38"/>
      <c r="M9" s="38"/>
      <c r="N9" s="38"/>
      <c r="O9" s="38"/>
      <c r="P9" s="38"/>
      <c r="Q9" s="11"/>
      <c r="R9" s="38"/>
      <c r="S9" s="38"/>
      <c r="T9" s="38"/>
      <c r="U9" s="38"/>
      <c r="V9" s="38"/>
      <c r="W9" s="38"/>
      <c r="X9" s="38"/>
      <c r="Y9" s="38"/>
      <c r="Z9" s="38"/>
      <c r="AA9" s="38"/>
    </row>
    <row r="10" spans="1:27" ht="15.6" x14ac:dyDescent="0.3">
      <c r="A10" s="90" t="s">
        <v>56</v>
      </c>
      <c r="B10" s="91"/>
      <c r="C10" s="91"/>
      <c r="D10" s="91"/>
      <c r="E10" s="15" t="s">
        <v>11</v>
      </c>
      <c r="F10" s="17">
        <v>1693</v>
      </c>
      <c r="G10" s="38"/>
      <c r="H10" s="12"/>
      <c r="I10" s="38"/>
      <c r="J10" s="38"/>
      <c r="K10" s="38"/>
      <c r="L10" s="38"/>
      <c r="M10" s="38"/>
      <c r="N10" s="38"/>
      <c r="O10" s="38"/>
      <c r="P10" s="38"/>
      <c r="Q10" s="11"/>
      <c r="R10" s="38"/>
      <c r="S10" s="38"/>
      <c r="T10" s="38"/>
      <c r="U10" s="38"/>
      <c r="V10" s="38"/>
      <c r="W10" s="38"/>
      <c r="X10" s="38"/>
      <c r="Y10" s="38"/>
      <c r="Z10" s="38"/>
      <c r="AA10" s="38"/>
    </row>
    <row r="11" spans="1:27" ht="23.4" thickBot="1" x14ac:dyDescent="0.35">
      <c r="A11" s="78" t="s">
        <v>57</v>
      </c>
      <c r="B11" s="79"/>
      <c r="C11" s="79"/>
      <c r="D11" s="79"/>
      <c r="E11" s="24"/>
      <c r="F11" s="24"/>
      <c r="G11" s="38"/>
      <c r="I11" s="43"/>
      <c r="J11" s="49"/>
      <c r="K11" s="43"/>
      <c r="L11" s="38"/>
      <c r="M11" s="38"/>
      <c r="N11" s="38"/>
      <c r="O11" s="38"/>
      <c r="P11" s="38"/>
      <c r="Q11" s="11"/>
      <c r="R11" s="38"/>
      <c r="S11" s="38"/>
      <c r="T11" s="38"/>
      <c r="U11" s="38"/>
      <c r="V11" s="38"/>
      <c r="W11" s="38"/>
      <c r="X11" s="38"/>
      <c r="Y11" s="38"/>
      <c r="Z11" s="38"/>
      <c r="AA11" s="38"/>
    </row>
    <row r="12" spans="1:27" ht="15.6" x14ac:dyDescent="0.3">
      <c r="F12" s="38"/>
      <c r="G12" s="38"/>
      <c r="H12" s="38"/>
      <c r="I12" s="38"/>
      <c r="J12" s="49"/>
      <c r="K12" s="38"/>
      <c r="L12" s="71"/>
      <c r="M12" s="71"/>
      <c r="N12" s="71"/>
      <c r="O12" s="38"/>
      <c r="P12" s="38"/>
      <c r="Q12" s="11"/>
      <c r="R12" s="38"/>
      <c r="S12" s="38"/>
      <c r="T12" s="38"/>
      <c r="U12" s="38"/>
      <c r="V12" s="38"/>
      <c r="W12" s="38"/>
      <c r="X12" s="38"/>
      <c r="Y12" s="38"/>
      <c r="Z12" s="38"/>
      <c r="AA12" s="38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23"/>
      <c r="I13" s="23"/>
      <c r="K13" s="38"/>
      <c r="L13" s="38"/>
      <c r="M13" s="38"/>
      <c r="N13" s="38"/>
      <c r="O13" s="38"/>
      <c r="P13" s="38"/>
      <c r="Q13" s="11"/>
      <c r="R13" s="38"/>
      <c r="S13" s="38"/>
      <c r="T13" s="38"/>
      <c r="U13" s="38"/>
      <c r="V13" s="38"/>
      <c r="W13" s="38"/>
      <c r="X13" s="38"/>
      <c r="Y13" s="38"/>
      <c r="Z13" s="38"/>
      <c r="AA13" s="38"/>
    </row>
    <row r="14" spans="1:27" ht="16.2" thickBot="1" x14ac:dyDescent="0.35">
      <c r="J14" s="43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</row>
    <row r="16" spans="1:27" x14ac:dyDescent="0.3">
      <c r="A16" s="5"/>
      <c r="B16" s="4"/>
      <c r="C16" s="38"/>
      <c r="D16" s="4"/>
      <c r="E16" s="4"/>
      <c r="F16" s="4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</row>
    <row r="17" spans="1:27" ht="18" x14ac:dyDescent="0.35">
      <c r="A17" s="33">
        <v>1</v>
      </c>
      <c r="B17" s="4"/>
      <c r="C17" s="42" t="s">
        <v>58</v>
      </c>
      <c r="D17" s="33">
        <v>13</v>
      </c>
      <c r="E17" s="33">
        <v>630</v>
      </c>
      <c r="F17" s="33">
        <f>D17*E17</f>
        <v>8190</v>
      </c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</row>
    <row r="18" spans="1:27" ht="15.6" x14ac:dyDescent="0.3">
      <c r="A18" s="33">
        <v>2</v>
      </c>
      <c r="B18" s="4"/>
      <c r="C18" s="43" t="s">
        <v>59</v>
      </c>
      <c r="D18" s="33">
        <v>18</v>
      </c>
      <c r="E18" s="33">
        <v>630</v>
      </c>
      <c r="F18" s="33">
        <f>D18*E18</f>
        <v>11340</v>
      </c>
      <c r="K18" s="43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</row>
    <row r="19" spans="1:27" ht="15.6" x14ac:dyDescent="0.3">
      <c r="A19" s="33"/>
      <c r="B19" s="4"/>
      <c r="C19" s="43"/>
      <c r="D19" s="33"/>
      <c r="E19" s="33"/>
      <c r="F19" s="33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</row>
    <row r="20" spans="1:27" x14ac:dyDescent="0.3">
      <c r="A20" s="33"/>
      <c r="B20" s="4"/>
      <c r="C20" s="48"/>
      <c r="D20" s="33"/>
      <c r="E20" s="33"/>
      <c r="F20" s="33"/>
    </row>
    <row r="21" spans="1:27" ht="15.6" x14ac:dyDescent="0.3">
      <c r="A21" s="33"/>
      <c r="B21" s="4"/>
      <c r="C21" s="45"/>
      <c r="D21" s="33"/>
      <c r="E21" s="33"/>
      <c r="F21" s="33"/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1"/>
      <c r="E30" s="28" t="s">
        <v>17</v>
      </c>
      <c r="F30" s="32">
        <f>F17+F18+F19+F20+F21</f>
        <v>19530</v>
      </c>
    </row>
    <row r="31" spans="1:27" ht="18.600000000000001" thickBot="1" x14ac:dyDescent="0.4">
      <c r="A31" s="5" t="s">
        <v>100</v>
      </c>
      <c r="B31" s="62"/>
      <c r="C31" s="62"/>
      <c r="D31" s="38"/>
      <c r="E31" s="29" t="s">
        <v>18</v>
      </c>
      <c r="F31" s="36">
        <f>F30*9/100</f>
        <v>1757.7</v>
      </c>
    </row>
    <row r="32" spans="1:27" ht="15" thickBot="1" x14ac:dyDescent="0.35">
      <c r="A32" s="5" t="s">
        <v>97</v>
      </c>
      <c r="B32" s="62"/>
      <c r="C32" s="62"/>
      <c r="D32" s="38"/>
      <c r="E32" s="28" t="s">
        <v>22</v>
      </c>
      <c r="F32" s="36">
        <f>F30*9/100</f>
        <v>1757.7</v>
      </c>
    </row>
    <row r="33" spans="1:6" ht="16.2" thickBot="1" x14ac:dyDescent="0.35">
      <c r="A33" s="7" t="s">
        <v>98</v>
      </c>
      <c r="B33" s="3"/>
      <c r="C33" s="3"/>
      <c r="D33" s="3"/>
      <c r="E33" s="30" t="s">
        <v>19</v>
      </c>
      <c r="F33" s="35">
        <f>F30+F31+F32</f>
        <v>23045.4</v>
      </c>
    </row>
    <row r="34" spans="1:6" ht="15" thickBot="1" x14ac:dyDescent="0.35">
      <c r="A34" s="73" t="str">
        <f>SpellNumber(F33)</f>
        <v xml:space="preserve">Rupees TwentyThree Thousand FourtyFive Paise Fourty Only </v>
      </c>
      <c r="B34" s="74"/>
      <c r="C34" s="74"/>
      <c r="D34" s="74"/>
      <c r="E34" s="74"/>
      <c r="F34" s="75"/>
    </row>
  </sheetData>
  <mergeCells count="13">
    <mergeCell ref="A34:F34"/>
    <mergeCell ref="A8:D8"/>
    <mergeCell ref="A9:D9"/>
    <mergeCell ref="A10:D10"/>
    <mergeCell ref="A11:D11"/>
    <mergeCell ref="L12:N12"/>
    <mergeCell ref="A13:F13"/>
    <mergeCell ref="A1:F1"/>
    <mergeCell ref="A2:F2"/>
    <mergeCell ref="A3:F3"/>
    <mergeCell ref="A4:F4"/>
    <mergeCell ref="A6:D6"/>
    <mergeCell ref="A7:D7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H19" sqref="H19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38"/>
      <c r="H6" s="13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</row>
    <row r="7" spans="1:27" ht="15.6" x14ac:dyDescent="0.3">
      <c r="A7" s="76" t="s">
        <v>60</v>
      </c>
      <c r="B7" s="77"/>
      <c r="C7" s="77"/>
      <c r="D7" s="77"/>
      <c r="E7" s="15" t="s">
        <v>3</v>
      </c>
      <c r="F7" s="17" t="s">
        <v>4</v>
      </c>
      <c r="G7" s="38"/>
      <c r="H7" s="18"/>
      <c r="I7" s="38"/>
      <c r="J7" s="51"/>
      <c r="K7" s="38"/>
      <c r="L7" s="37"/>
      <c r="M7" s="37"/>
      <c r="N7" s="37"/>
      <c r="O7" s="38"/>
      <c r="P7" s="38"/>
      <c r="Q7" s="10"/>
      <c r="R7" s="38"/>
      <c r="S7" s="38"/>
      <c r="T7" s="38"/>
      <c r="U7" s="38"/>
      <c r="V7" s="38"/>
      <c r="W7" s="38"/>
      <c r="X7" s="38"/>
      <c r="Y7" s="38"/>
      <c r="Z7" s="38"/>
      <c r="AA7" s="38"/>
    </row>
    <row r="8" spans="1:27" ht="15.6" x14ac:dyDescent="0.3">
      <c r="A8" s="88" t="s">
        <v>61</v>
      </c>
      <c r="B8" s="89"/>
      <c r="C8" s="89"/>
      <c r="D8" s="89"/>
      <c r="E8" s="15" t="s">
        <v>6</v>
      </c>
      <c r="F8" s="17">
        <v>380893</v>
      </c>
      <c r="G8" s="38"/>
      <c r="H8" s="12"/>
      <c r="I8" s="38"/>
      <c r="J8" s="38"/>
      <c r="K8" s="38"/>
      <c r="L8" s="37"/>
      <c r="M8" s="38"/>
      <c r="N8" s="38"/>
      <c r="O8" s="38"/>
      <c r="P8" s="38"/>
      <c r="Q8" s="11"/>
      <c r="R8" s="38"/>
      <c r="S8" s="38"/>
      <c r="T8" s="38"/>
      <c r="U8" s="38"/>
      <c r="V8" s="38"/>
      <c r="W8" s="38"/>
      <c r="X8" s="38"/>
      <c r="Y8" s="38"/>
      <c r="Z8" s="38"/>
      <c r="AA8" s="38"/>
    </row>
    <row r="9" spans="1:27" ht="15.6" x14ac:dyDescent="0.3">
      <c r="A9" s="90" t="s">
        <v>62</v>
      </c>
      <c r="B9" s="91"/>
      <c r="C9" s="91"/>
      <c r="D9" s="91"/>
      <c r="E9" s="15" t="s">
        <v>8</v>
      </c>
      <c r="F9" s="17" t="s">
        <v>9</v>
      </c>
      <c r="G9" s="38"/>
      <c r="H9" s="18"/>
      <c r="I9" s="51"/>
      <c r="J9" s="38"/>
      <c r="K9" s="51"/>
      <c r="L9" s="37"/>
      <c r="M9" s="38"/>
      <c r="N9" s="38"/>
      <c r="O9" s="38"/>
      <c r="P9" s="38"/>
      <c r="Q9" s="11"/>
      <c r="R9" s="38"/>
      <c r="S9" s="38"/>
      <c r="T9" s="38"/>
      <c r="U9" s="38"/>
      <c r="V9" s="38"/>
      <c r="W9" s="38"/>
      <c r="X9" s="38"/>
      <c r="Y9" s="38"/>
      <c r="Z9" s="38"/>
      <c r="AA9" s="38"/>
    </row>
    <row r="10" spans="1:27" ht="15.6" x14ac:dyDescent="0.3">
      <c r="A10" s="90" t="s">
        <v>63</v>
      </c>
      <c r="B10" s="91"/>
      <c r="C10" s="91"/>
      <c r="D10" s="91"/>
      <c r="E10" s="15" t="s">
        <v>11</v>
      </c>
      <c r="F10" s="17">
        <v>1694</v>
      </c>
      <c r="G10" s="38"/>
      <c r="H10" s="12"/>
      <c r="I10" s="38"/>
      <c r="J10" s="38"/>
      <c r="K10" s="38"/>
      <c r="L10" s="37"/>
      <c r="M10" s="38"/>
      <c r="N10" s="38"/>
      <c r="O10" s="38"/>
      <c r="P10" s="38"/>
      <c r="Q10" s="11"/>
      <c r="R10" s="38"/>
      <c r="S10" s="38"/>
      <c r="T10" s="38"/>
      <c r="U10" s="38"/>
      <c r="V10" s="38"/>
      <c r="W10" s="38"/>
      <c r="X10" s="38"/>
      <c r="Y10" s="38"/>
      <c r="Z10" s="38"/>
      <c r="AA10" s="38"/>
    </row>
    <row r="11" spans="1:27" ht="23.4" thickBot="1" x14ac:dyDescent="0.35">
      <c r="A11" s="78" t="s">
        <v>57</v>
      </c>
      <c r="B11" s="79"/>
      <c r="C11" s="79"/>
      <c r="D11" s="79"/>
      <c r="E11" s="24"/>
      <c r="F11" s="24"/>
      <c r="G11" s="38"/>
      <c r="I11" s="51"/>
      <c r="J11" s="37"/>
      <c r="K11" s="51"/>
      <c r="L11" s="38"/>
      <c r="M11" s="38"/>
      <c r="N11" s="38"/>
      <c r="O11" s="38"/>
      <c r="P11" s="38"/>
      <c r="Q11" s="11"/>
      <c r="R11" s="38"/>
      <c r="S11" s="38"/>
      <c r="T11" s="38"/>
      <c r="U11" s="38"/>
      <c r="V11" s="38"/>
      <c r="W11" s="38"/>
      <c r="X11" s="38"/>
      <c r="Y11" s="38"/>
      <c r="Z11" s="38"/>
      <c r="AA11" s="38"/>
    </row>
    <row r="12" spans="1:27" ht="15.6" x14ac:dyDescent="0.3">
      <c r="F12" s="38"/>
      <c r="G12" s="38"/>
      <c r="H12" s="38"/>
      <c r="I12" s="38"/>
      <c r="J12" s="37"/>
      <c r="K12" s="38"/>
      <c r="L12" s="71"/>
      <c r="M12" s="71"/>
      <c r="N12" s="71"/>
      <c r="O12" s="38"/>
      <c r="P12" s="38"/>
      <c r="Q12" s="11"/>
      <c r="R12" s="38"/>
      <c r="S12" s="38"/>
      <c r="T12" s="38"/>
      <c r="U12" s="38"/>
      <c r="V12" s="38"/>
      <c r="W12" s="38"/>
      <c r="X12" s="38"/>
      <c r="Y12" s="38"/>
      <c r="Z12" s="38"/>
      <c r="AA12" s="38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23"/>
      <c r="I13" s="52"/>
      <c r="J13" s="38"/>
      <c r="K13" s="38"/>
      <c r="L13" s="38"/>
      <c r="M13" s="38"/>
      <c r="N13" s="38"/>
      <c r="O13" s="38"/>
      <c r="P13" s="38"/>
      <c r="Q13" s="11"/>
      <c r="R13" s="38"/>
      <c r="S13" s="38"/>
      <c r="T13" s="38"/>
      <c r="U13" s="38"/>
      <c r="V13" s="38"/>
      <c r="W13" s="38"/>
      <c r="X13" s="38"/>
      <c r="Y13" s="38"/>
      <c r="Z13" s="38"/>
      <c r="AA13" s="38"/>
    </row>
    <row r="14" spans="1:27" ht="16.2" thickBot="1" x14ac:dyDescent="0.35">
      <c r="I14" s="38"/>
      <c r="J14" s="51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</row>
    <row r="16" spans="1:27" x14ac:dyDescent="0.3">
      <c r="A16" s="5"/>
      <c r="B16" s="4"/>
      <c r="C16" s="38"/>
      <c r="D16" s="4"/>
      <c r="E16" s="4"/>
      <c r="F16" s="4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</row>
    <row r="17" spans="1:27" ht="18" x14ac:dyDescent="0.35">
      <c r="A17" s="33">
        <v>1</v>
      </c>
      <c r="B17" s="4"/>
      <c r="C17" s="42" t="s">
        <v>64</v>
      </c>
      <c r="D17" s="33">
        <v>17</v>
      </c>
      <c r="E17" s="33">
        <v>630</v>
      </c>
      <c r="F17" s="33">
        <f>D17*E17</f>
        <v>10710</v>
      </c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</row>
    <row r="18" spans="1:27" ht="17.399999999999999" x14ac:dyDescent="0.3">
      <c r="A18" s="33">
        <v>2</v>
      </c>
      <c r="B18" s="4"/>
      <c r="C18" s="47" t="s">
        <v>65</v>
      </c>
      <c r="D18" s="33">
        <v>16</v>
      </c>
      <c r="E18" s="33">
        <v>630</v>
      </c>
      <c r="F18" s="33">
        <f>D18*E18</f>
        <v>10080</v>
      </c>
      <c r="K18" s="43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</row>
    <row r="19" spans="1:27" ht="17.399999999999999" x14ac:dyDescent="0.3">
      <c r="A19" s="33">
        <v>3</v>
      </c>
      <c r="B19" s="4"/>
      <c r="C19" s="47" t="s">
        <v>66</v>
      </c>
      <c r="D19" s="33">
        <v>12</v>
      </c>
      <c r="E19" s="33">
        <v>350</v>
      </c>
      <c r="F19" s="33">
        <f>D19*E19</f>
        <v>4200</v>
      </c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</row>
    <row r="20" spans="1:27" x14ac:dyDescent="0.3">
      <c r="A20" s="33"/>
      <c r="B20" s="4"/>
      <c r="C20" s="48"/>
      <c r="D20" s="33"/>
      <c r="E20" s="33"/>
      <c r="F20" s="33"/>
    </row>
    <row r="21" spans="1:27" ht="15.6" x14ac:dyDescent="0.3">
      <c r="A21" s="33"/>
      <c r="B21" s="4"/>
      <c r="C21" s="45"/>
      <c r="D21" s="33"/>
      <c r="E21" s="33"/>
      <c r="F21" s="33"/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1"/>
      <c r="E30" s="28" t="s">
        <v>17</v>
      </c>
      <c r="F30" s="32">
        <f>F17+F18+F19+F20+F21</f>
        <v>24990</v>
      </c>
    </row>
    <row r="31" spans="1:27" ht="18.600000000000001" thickBot="1" x14ac:dyDescent="0.4">
      <c r="A31" s="5" t="s">
        <v>100</v>
      </c>
      <c r="B31" s="62"/>
      <c r="C31" s="62"/>
      <c r="D31" s="38"/>
      <c r="E31" s="29" t="s">
        <v>18</v>
      </c>
      <c r="F31" s="36">
        <f>F30*9/100</f>
        <v>2249.1</v>
      </c>
    </row>
    <row r="32" spans="1:27" ht="15" thickBot="1" x14ac:dyDescent="0.35">
      <c r="A32" s="5" t="s">
        <v>97</v>
      </c>
      <c r="B32" s="62"/>
      <c r="C32" s="62"/>
      <c r="D32" s="38"/>
      <c r="E32" s="28" t="s">
        <v>22</v>
      </c>
      <c r="F32" s="36">
        <f>F30*9/100</f>
        <v>2249.1</v>
      </c>
    </row>
    <row r="33" spans="1:6" ht="16.2" thickBot="1" x14ac:dyDescent="0.35">
      <c r="A33" s="7" t="s">
        <v>98</v>
      </c>
      <c r="B33" s="3"/>
      <c r="C33" s="3"/>
      <c r="D33" s="3"/>
      <c r="E33" s="30" t="s">
        <v>19</v>
      </c>
      <c r="F33" s="35">
        <f>F30+F31+F32</f>
        <v>29488.199999999997</v>
      </c>
    </row>
    <row r="34" spans="1:6" ht="15" thickBot="1" x14ac:dyDescent="0.35">
      <c r="A34" s="73" t="str">
        <f>SpellNumber(F33)</f>
        <v xml:space="preserve">Rupees TwentyNine Thousand Four Hundred EightyEight Paise Twenty Only </v>
      </c>
      <c r="B34" s="74"/>
      <c r="C34" s="74"/>
      <c r="D34" s="74"/>
      <c r="E34" s="74"/>
      <c r="F34" s="75"/>
    </row>
  </sheetData>
  <mergeCells count="13">
    <mergeCell ref="A34:F34"/>
    <mergeCell ref="A8:D8"/>
    <mergeCell ref="A9:D9"/>
    <mergeCell ref="A10:D10"/>
    <mergeCell ref="A11:D11"/>
    <mergeCell ref="L12:N12"/>
    <mergeCell ref="A13:F13"/>
    <mergeCell ref="A1:F1"/>
    <mergeCell ref="A2:F2"/>
    <mergeCell ref="A3:F3"/>
    <mergeCell ref="A4:F4"/>
    <mergeCell ref="A6:D6"/>
    <mergeCell ref="A7:D7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topLeftCell="A7" workbookViewId="0">
      <selection activeCell="H11" sqref="H11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38"/>
      <c r="H6" s="13"/>
      <c r="I6" s="38"/>
      <c r="J6" s="37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</row>
    <row r="7" spans="1:27" ht="15.6" x14ac:dyDescent="0.3">
      <c r="A7" s="76" t="s">
        <v>67</v>
      </c>
      <c r="B7" s="77"/>
      <c r="C7" s="77"/>
      <c r="D7" s="77"/>
      <c r="E7" s="15" t="s">
        <v>3</v>
      </c>
      <c r="F7" s="17" t="s">
        <v>4</v>
      </c>
      <c r="G7" s="38"/>
      <c r="H7" s="18"/>
      <c r="I7" s="38"/>
      <c r="J7" s="37"/>
      <c r="K7" s="38"/>
      <c r="L7" s="37"/>
      <c r="M7" s="37"/>
      <c r="N7" s="37"/>
      <c r="O7" s="38"/>
      <c r="P7" s="38"/>
      <c r="Q7" s="10"/>
      <c r="R7" s="38"/>
      <c r="S7" s="38"/>
      <c r="T7" s="38"/>
      <c r="U7" s="38"/>
      <c r="V7" s="38"/>
      <c r="W7" s="38"/>
      <c r="X7" s="38"/>
      <c r="Y7" s="38"/>
      <c r="Z7" s="38"/>
      <c r="AA7" s="38"/>
    </row>
    <row r="8" spans="1:27" ht="15.6" x14ac:dyDescent="0.3">
      <c r="A8" s="88" t="s">
        <v>68</v>
      </c>
      <c r="B8" s="89"/>
      <c r="C8" s="89"/>
      <c r="D8" s="89"/>
      <c r="E8" s="15" t="s">
        <v>6</v>
      </c>
      <c r="F8" s="17">
        <v>380893</v>
      </c>
      <c r="G8" s="38"/>
      <c r="H8" s="12"/>
      <c r="I8" s="38"/>
      <c r="J8" s="37"/>
      <c r="K8" s="38"/>
      <c r="L8" s="37"/>
      <c r="M8" s="38"/>
      <c r="N8" s="38"/>
      <c r="O8" s="38"/>
      <c r="P8" s="38"/>
      <c r="Q8" s="11"/>
      <c r="R8" s="38"/>
      <c r="S8" s="38"/>
      <c r="T8" s="38"/>
      <c r="U8" s="38"/>
      <c r="V8" s="38"/>
      <c r="W8" s="38"/>
      <c r="X8" s="38"/>
      <c r="Y8" s="38"/>
      <c r="Z8" s="38"/>
      <c r="AA8" s="38"/>
    </row>
    <row r="9" spans="1:27" ht="15.6" x14ac:dyDescent="0.3">
      <c r="A9" s="90" t="s">
        <v>69</v>
      </c>
      <c r="B9" s="91"/>
      <c r="C9" s="91"/>
      <c r="D9" s="91"/>
      <c r="E9" s="15" t="s">
        <v>8</v>
      </c>
      <c r="F9" s="17" t="s">
        <v>9</v>
      </c>
      <c r="G9" s="38"/>
      <c r="H9" s="18"/>
      <c r="I9" s="51"/>
      <c r="J9" s="38"/>
      <c r="K9" s="51"/>
      <c r="L9" s="37"/>
      <c r="M9" s="38"/>
      <c r="N9" s="38"/>
      <c r="O9" s="38"/>
      <c r="P9" s="38"/>
      <c r="Q9" s="11"/>
      <c r="R9" s="38"/>
      <c r="S9" s="38"/>
      <c r="T9" s="38"/>
      <c r="U9" s="38"/>
      <c r="V9" s="38"/>
      <c r="W9" s="38"/>
      <c r="X9" s="38"/>
      <c r="Y9" s="38"/>
      <c r="Z9" s="38"/>
      <c r="AA9" s="38"/>
    </row>
    <row r="10" spans="1:27" ht="15.6" x14ac:dyDescent="0.3">
      <c r="A10" s="90"/>
      <c r="B10" s="91"/>
      <c r="C10" s="91"/>
      <c r="D10" s="91"/>
      <c r="E10" s="15" t="s">
        <v>11</v>
      </c>
      <c r="F10" s="17">
        <v>1695</v>
      </c>
      <c r="G10" s="38"/>
      <c r="H10" s="12"/>
      <c r="I10" s="38"/>
      <c r="J10" s="38"/>
      <c r="K10" s="38"/>
      <c r="L10" s="37"/>
      <c r="M10" s="38"/>
      <c r="N10" s="38"/>
      <c r="O10" s="38"/>
      <c r="P10" s="38"/>
      <c r="Q10" s="11"/>
      <c r="R10" s="38"/>
      <c r="S10" s="38"/>
      <c r="T10" s="38"/>
      <c r="U10" s="38"/>
      <c r="V10" s="38"/>
      <c r="W10" s="38"/>
      <c r="X10" s="38"/>
      <c r="Y10" s="38"/>
      <c r="Z10" s="38"/>
      <c r="AA10" s="38"/>
    </row>
    <row r="11" spans="1:27" ht="23.4" thickBot="1" x14ac:dyDescent="0.35">
      <c r="A11" s="78" t="s">
        <v>70</v>
      </c>
      <c r="B11" s="79"/>
      <c r="C11" s="79"/>
      <c r="D11" s="79"/>
      <c r="E11" s="24"/>
      <c r="F11" s="24"/>
      <c r="G11" s="38"/>
      <c r="I11" s="51"/>
      <c r="J11" s="37"/>
      <c r="K11" s="51"/>
      <c r="L11" s="38"/>
      <c r="M11" s="38"/>
      <c r="N11" s="38"/>
      <c r="O11" s="38"/>
      <c r="P11" s="38"/>
      <c r="Q11" s="11"/>
      <c r="R11" s="38"/>
      <c r="S11" s="38"/>
      <c r="T11" s="38"/>
      <c r="U11" s="38"/>
      <c r="V11" s="38"/>
      <c r="W11" s="38"/>
      <c r="X11" s="38"/>
      <c r="Y11" s="38"/>
      <c r="Z11" s="38"/>
      <c r="AA11" s="38"/>
    </row>
    <row r="12" spans="1:27" ht="15.6" x14ac:dyDescent="0.3">
      <c r="F12" s="38"/>
      <c r="G12" s="38"/>
      <c r="H12" s="38"/>
      <c r="I12" s="38"/>
      <c r="J12" s="37"/>
      <c r="K12" s="38"/>
      <c r="L12" s="71"/>
      <c r="M12" s="71"/>
      <c r="N12" s="71"/>
      <c r="O12" s="38"/>
      <c r="P12" s="38"/>
      <c r="Q12" s="11"/>
      <c r="R12" s="38"/>
      <c r="S12" s="38"/>
      <c r="T12" s="38"/>
      <c r="U12" s="38"/>
      <c r="V12" s="38"/>
      <c r="W12" s="38"/>
      <c r="X12" s="38"/>
      <c r="Y12" s="38"/>
      <c r="Z12" s="38"/>
      <c r="AA12" s="38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23"/>
      <c r="I13" s="52"/>
      <c r="J13" s="38"/>
      <c r="K13" s="38"/>
      <c r="L13" s="38"/>
      <c r="M13" s="38"/>
      <c r="N13" s="38"/>
      <c r="O13" s="38"/>
      <c r="P13" s="38"/>
      <c r="Q13" s="11"/>
      <c r="R13" s="38"/>
      <c r="S13" s="38"/>
      <c r="T13" s="38"/>
      <c r="U13" s="38"/>
      <c r="V13" s="38"/>
      <c r="W13" s="38"/>
      <c r="X13" s="38"/>
      <c r="Y13" s="38"/>
      <c r="Z13" s="38"/>
      <c r="AA13" s="38"/>
    </row>
    <row r="14" spans="1:27" ht="16.2" thickBot="1" x14ac:dyDescent="0.35">
      <c r="I14" s="38"/>
      <c r="J14" s="51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</row>
    <row r="16" spans="1:27" x14ac:dyDescent="0.3">
      <c r="A16" s="5"/>
      <c r="B16" s="4"/>
      <c r="C16" s="38"/>
      <c r="D16" s="4"/>
      <c r="E16" s="4"/>
      <c r="F16" s="4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</row>
    <row r="17" spans="1:27" ht="18" x14ac:dyDescent="0.35">
      <c r="A17" s="33">
        <v>1</v>
      </c>
      <c r="B17" s="4"/>
      <c r="C17" s="42" t="s">
        <v>71</v>
      </c>
      <c r="D17" s="33">
        <v>0</v>
      </c>
      <c r="E17" s="33">
        <v>630</v>
      </c>
      <c r="F17" s="33">
        <f>D17*E17</f>
        <v>0</v>
      </c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</row>
    <row r="18" spans="1:27" ht="15.6" x14ac:dyDescent="0.3">
      <c r="A18" s="33">
        <v>2</v>
      </c>
      <c r="B18" s="4"/>
      <c r="C18" s="43" t="s">
        <v>72</v>
      </c>
      <c r="D18" s="33">
        <v>15</v>
      </c>
      <c r="E18" s="33">
        <v>630</v>
      </c>
      <c r="F18" s="33">
        <f>D18*E18</f>
        <v>9450</v>
      </c>
      <c r="K18" s="43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</row>
    <row r="19" spans="1:27" ht="17.399999999999999" x14ac:dyDescent="0.3">
      <c r="A19" s="33"/>
      <c r="B19" s="4"/>
      <c r="C19" s="47"/>
      <c r="D19" s="33"/>
      <c r="E19" s="33"/>
      <c r="F19" s="33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</row>
    <row r="20" spans="1:27" x14ac:dyDescent="0.3">
      <c r="A20" s="33"/>
      <c r="B20" s="4"/>
      <c r="C20" s="48"/>
      <c r="D20" s="33"/>
      <c r="E20" s="33"/>
      <c r="F20" s="33"/>
    </row>
    <row r="21" spans="1:27" ht="15.6" x14ac:dyDescent="0.3">
      <c r="A21" s="33"/>
      <c r="B21" s="4"/>
      <c r="C21" s="45"/>
      <c r="D21" s="33"/>
      <c r="E21" s="33"/>
      <c r="F21" s="33"/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1"/>
      <c r="E30" s="28" t="s">
        <v>17</v>
      </c>
      <c r="F30" s="32">
        <f>F17+F18+F19+F20+F21</f>
        <v>9450</v>
      </c>
    </row>
    <row r="31" spans="1:27" ht="18.600000000000001" thickBot="1" x14ac:dyDescent="0.4">
      <c r="A31" s="5" t="s">
        <v>100</v>
      </c>
      <c r="B31" s="62"/>
      <c r="C31" s="62"/>
      <c r="D31" s="38"/>
      <c r="E31" s="29" t="s">
        <v>18</v>
      </c>
      <c r="F31" s="36">
        <f>F30*9/100</f>
        <v>850.5</v>
      </c>
    </row>
    <row r="32" spans="1:27" ht="15" thickBot="1" x14ac:dyDescent="0.35">
      <c r="A32" s="5" t="s">
        <v>97</v>
      </c>
      <c r="B32" s="62"/>
      <c r="C32" s="62"/>
      <c r="D32" s="38"/>
      <c r="E32" s="28" t="s">
        <v>22</v>
      </c>
      <c r="F32" s="36">
        <f>F30*9/100</f>
        <v>850.5</v>
      </c>
    </row>
    <row r="33" spans="1:6" ht="16.2" thickBot="1" x14ac:dyDescent="0.35">
      <c r="A33" s="7" t="s">
        <v>98</v>
      </c>
      <c r="B33" s="3"/>
      <c r="C33" s="3"/>
      <c r="D33" s="3"/>
      <c r="E33" s="30" t="s">
        <v>19</v>
      </c>
      <c r="F33" s="35">
        <f>F30+F31+F32</f>
        <v>11151</v>
      </c>
    </row>
    <row r="34" spans="1:6" ht="15" thickBot="1" x14ac:dyDescent="0.35">
      <c r="A34" s="73" t="str">
        <f>SpellNumber(F33)</f>
        <v xml:space="preserve">Rupees Eleven Thousand One Hundred FiftyOne Only </v>
      </c>
      <c r="B34" s="74"/>
      <c r="C34" s="74"/>
      <c r="D34" s="74"/>
      <c r="E34" s="74"/>
      <c r="F34" s="75"/>
    </row>
  </sheetData>
  <mergeCells count="13">
    <mergeCell ref="A34:F34"/>
    <mergeCell ref="A8:D8"/>
    <mergeCell ref="A9:D9"/>
    <mergeCell ref="A10:D10"/>
    <mergeCell ref="A11:D11"/>
    <mergeCell ref="L12:N12"/>
    <mergeCell ref="A13:F13"/>
    <mergeCell ref="A1:F1"/>
    <mergeCell ref="A2:F2"/>
    <mergeCell ref="A3:F3"/>
    <mergeCell ref="A4:F4"/>
    <mergeCell ref="A6:D6"/>
    <mergeCell ref="A7:D7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topLeftCell="A10" workbookViewId="0">
      <selection activeCell="D19" sqref="D19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38"/>
      <c r="H6" s="13"/>
      <c r="I6" s="38"/>
      <c r="J6" s="37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</row>
    <row r="7" spans="1:27" ht="15.6" x14ac:dyDescent="0.3">
      <c r="A7" s="76" t="s">
        <v>73</v>
      </c>
      <c r="B7" s="77"/>
      <c r="C7" s="77"/>
      <c r="D7" s="77"/>
      <c r="E7" s="15" t="s">
        <v>3</v>
      </c>
      <c r="F7" s="17" t="s">
        <v>4</v>
      </c>
      <c r="G7" s="38"/>
      <c r="H7" s="18"/>
      <c r="I7" s="38"/>
      <c r="J7" s="37"/>
      <c r="K7" s="37"/>
      <c r="L7" s="37"/>
      <c r="M7" s="37"/>
      <c r="N7" s="37"/>
      <c r="O7" s="38"/>
      <c r="P7" s="38"/>
      <c r="Q7" s="10"/>
      <c r="R7" s="38"/>
      <c r="S7" s="38"/>
      <c r="T7" s="38"/>
      <c r="U7" s="38"/>
      <c r="V7" s="38"/>
      <c r="W7" s="38"/>
      <c r="X7" s="38"/>
      <c r="Y7" s="38"/>
      <c r="Z7" s="38"/>
      <c r="AA7" s="38"/>
    </row>
    <row r="8" spans="1:27" ht="15.6" x14ac:dyDescent="0.3">
      <c r="A8" s="88" t="s">
        <v>74</v>
      </c>
      <c r="B8" s="89"/>
      <c r="C8" s="89"/>
      <c r="D8" s="89"/>
      <c r="E8" s="15" t="s">
        <v>6</v>
      </c>
      <c r="F8" s="17">
        <v>380893</v>
      </c>
      <c r="G8" s="38"/>
      <c r="H8" s="12"/>
      <c r="I8" s="38"/>
      <c r="J8" s="37"/>
      <c r="K8" s="37"/>
      <c r="L8" s="37"/>
      <c r="M8" s="38"/>
      <c r="N8" s="38"/>
      <c r="O8" s="38"/>
      <c r="P8" s="38"/>
      <c r="Q8" s="11"/>
      <c r="R8" s="38"/>
      <c r="S8" s="38"/>
      <c r="T8" s="38"/>
      <c r="U8" s="38"/>
      <c r="V8" s="38"/>
      <c r="W8" s="38"/>
      <c r="X8" s="38"/>
      <c r="Y8" s="38"/>
      <c r="Z8" s="38"/>
      <c r="AA8" s="38"/>
    </row>
    <row r="9" spans="1:27" ht="15.6" x14ac:dyDescent="0.3">
      <c r="A9" s="90" t="s">
        <v>75</v>
      </c>
      <c r="B9" s="91"/>
      <c r="C9" s="91"/>
      <c r="D9" s="91"/>
      <c r="E9" s="15" t="s">
        <v>8</v>
      </c>
      <c r="F9" s="17" t="s">
        <v>9</v>
      </c>
      <c r="G9" s="38"/>
      <c r="H9" s="18"/>
      <c r="I9" s="51"/>
      <c r="J9" s="38"/>
      <c r="K9" s="37"/>
      <c r="L9" s="37"/>
      <c r="M9" s="38"/>
      <c r="N9" s="38"/>
      <c r="O9" s="38"/>
      <c r="P9" s="38"/>
      <c r="Q9" s="11"/>
      <c r="R9" s="38"/>
      <c r="S9" s="38"/>
      <c r="T9" s="38"/>
      <c r="U9" s="38"/>
      <c r="V9" s="38"/>
      <c r="W9" s="38"/>
      <c r="X9" s="38"/>
      <c r="Y9" s="38"/>
      <c r="Z9" s="38"/>
      <c r="AA9" s="38"/>
    </row>
    <row r="10" spans="1:27" ht="15.6" x14ac:dyDescent="0.3">
      <c r="A10" s="90"/>
      <c r="B10" s="91"/>
      <c r="C10" s="91"/>
      <c r="D10" s="91"/>
      <c r="E10" s="15" t="s">
        <v>11</v>
      </c>
      <c r="F10" s="17">
        <v>1704</v>
      </c>
      <c r="G10" s="38"/>
      <c r="H10" s="12"/>
      <c r="I10" s="38"/>
      <c r="J10" s="38"/>
      <c r="K10" s="38"/>
      <c r="L10" s="37"/>
      <c r="M10" s="38"/>
      <c r="N10" s="38"/>
      <c r="O10" s="38"/>
      <c r="P10" s="38"/>
      <c r="Q10" s="11"/>
      <c r="R10" s="38"/>
      <c r="S10" s="38"/>
      <c r="T10" s="38"/>
      <c r="U10" s="38"/>
      <c r="V10" s="38"/>
      <c r="W10" s="38"/>
      <c r="X10" s="38"/>
      <c r="Y10" s="38"/>
      <c r="Z10" s="38"/>
      <c r="AA10" s="38"/>
    </row>
    <row r="11" spans="1:27" ht="23.4" thickBot="1" x14ac:dyDescent="0.35">
      <c r="A11" s="78" t="s">
        <v>76</v>
      </c>
      <c r="B11" s="79"/>
      <c r="C11" s="79"/>
      <c r="D11" s="79"/>
      <c r="E11" s="24"/>
      <c r="F11" s="24"/>
      <c r="G11" s="38"/>
      <c r="I11" s="51"/>
      <c r="J11" s="37"/>
      <c r="K11" s="51"/>
      <c r="L11" s="38"/>
      <c r="M11" s="38"/>
      <c r="N11" s="38"/>
      <c r="O11" s="38"/>
      <c r="P11" s="38"/>
      <c r="Q11" s="11"/>
      <c r="R11" s="38"/>
      <c r="S11" s="38"/>
      <c r="T11" s="38"/>
      <c r="U11" s="38"/>
      <c r="V11" s="38"/>
      <c r="W11" s="38"/>
      <c r="X11" s="38"/>
      <c r="Y11" s="38"/>
      <c r="Z11" s="38"/>
      <c r="AA11" s="38"/>
    </row>
    <row r="12" spans="1:27" ht="15.6" x14ac:dyDescent="0.3">
      <c r="F12" s="38"/>
      <c r="G12" s="38"/>
      <c r="H12" s="38"/>
      <c r="I12" s="38"/>
      <c r="J12" s="37"/>
      <c r="K12" s="38"/>
      <c r="L12" s="71"/>
      <c r="M12" s="71"/>
      <c r="N12" s="71"/>
      <c r="O12" s="38"/>
      <c r="P12" s="38"/>
      <c r="Q12" s="11"/>
      <c r="R12" s="38"/>
      <c r="S12" s="38"/>
      <c r="T12" s="38"/>
      <c r="U12" s="38"/>
      <c r="V12" s="38"/>
      <c r="W12" s="38"/>
      <c r="X12" s="38"/>
      <c r="Y12" s="38"/>
      <c r="Z12" s="38"/>
      <c r="AA12" s="38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23"/>
      <c r="I13" s="52"/>
      <c r="J13" s="38"/>
      <c r="K13" s="38"/>
      <c r="L13" s="38"/>
      <c r="M13" s="38"/>
      <c r="N13" s="38"/>
      <c r="O13" s="38"/>
      <c r="P13" s="38"/>
      <c r="Q13" s="11"/>
      <c r="R13" s="38"/>
      <c r="S13" s="38"/>
      <c r="T13" s="38"/>
      <c r="U13" s="38"/>
      <c r="V13" s="38"/>
      <c r="W13" s="38"/>
      <c r="X13" s="38"/>
      <c r="Y13" s="38"/>
      <c r="Z13" s="38"/>
      <c r="AA13" s="38"/>
    </row>
    <row r="14" spans="1:27" ht="16.2" thickBot="1" x14ac:dyDescent="0.35">
      <c r="I14" s="38"/>
      <c r="J14" s="51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</row>
    <row r="16" spans="1:27" x14ac:dyDescent="0.3">
      <c r="A16" s="5"/>
      <c r="B16" s="4"/>
      <c r="C16" s="38"/>
      <c r="D16" s="4"/>
      <c r="E16" s="4"/>
      <c r="F16" s="4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</row>
    <row r="17" spans="1:27" x14ac:dyDescent="0.3">
      <c r="A17" s="33">
        <v>1</v>
      </c>
      <c r="B17" s="4"/>
      <c r="C17" s="53" t="s">
        <v>77</v>
      </c>
      <c r="D17" s="33">
        <v>16</v>
      </c>
      <c r="E17" s="33">
        <v>1064</v>
      </c>
      <c r="F17" s="33">
        <f>D17*E17</f>
        <v>17024</v>
      </c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</row>
    <row r="18" spans="1:27" ht="15.6" x14ac:dyDescent="0.3">
      <c r="A18" s="33">
        <v>2</v>
      </c>
      <c r="B18" s="4"/>
      <c r="C18" s="54" t="s">
        <v>78</v>
      </c>
      <c r="D18" s="33">
        <v>17</v>
      </c>
      <c r="E18" s="33">
        <v>684</v>
      </c>
      <c r="F18" s="33">
        <f>D18*E18</f>
        <v>11628</v>
      </c>
      <c r="K18" s="43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</row>
    <row r="19" spans="1:27" ht="17.399999999999999" x14ac:dyDescent="0.3">
      <c r="A19" s="33"/>
      <c r="B19" s="4"/>
      <c r="C19" s="47"/>
      <c r="D19" s="33"/>
      <c r="E19" s="33"/>
      <c r="F19" s="33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</row>
    <row r="20" spans="1:27" x14ac:dyDescent="0.3">
      <c r="A20" s="33"/>
      <c r="B20" s="4"/>
      <c r="C20" s="48"/>
      <c r="D20" s="33"/>
      <c r="E20" s="33"/>
      <c r="F20" s="33"/>
    </row>
    <row r="21" spans="1:27" ht="15.6" x14ac:dyDescent="0.3">
      <c r="A21" s="33"/>
      <c r="B21" s="4"/>
      <c r="C21" s="45"/>
      <c r="D21" s="33"/>
      <c r="E21" s="33"/>
      <c r="F21" s="33"/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1"/>
      <c r="E30" s="28" t="s">
        <v>17</v>
      </c>
      <c r="F30" s="32">
        <f>F17+F18+F19+F20+F21</f>
        <v>28652</v>
      </c>
    </row>
    <row r="31" spans="1:27" ht="18.600000000000001" thickBot="1" x14ac:dyDescent="0.4">
      <c r="A31" s="5" t="s">
        <v>100</v>
      </c>
      <c r="B31" s="62"/>
      <c r="C31" s="62"/>
      <c r="D31" s="38"/>
      <c r="E31" s="29" t="s">
        <v>18</v>
      </c>
      <c r="F31" s="36">
        <f>F30*9/100</f>
        <v>2578.6799999999998</v>
      </c>
    </row>
    <row r="32" spans="1:27" ht="15" thickBot="1" x14ac:dyDescent="0.35">
      <c r="A32" s="5" t="s">
        <v>97</v>
      </c>
      <c r="B32" s="62"/>
      <c r="C32" s="62"/>
      <c r="D32" s="38"/>
      <c r="E32" s="28" t="s">
        <v>22</v>
      </c>
      <c r="F32" s="36">
        <f>F30*9/100</f>
        <v>2578.6799999999998</v>
      </c>
    </row>
    <row r="33" spans="1:6" ht="16.2" thickBot="1" x14ac:dyDescent="0.35">
      <c r="A33" s="7" t="s">
        <v>98</v>
      </c>
      <c r="B33" s="3"/>
      <c r="C33" s="3"/>
      <c r="D33" s="3"/>
      <c r="E33" s="30" t="s">
        <v>19</v>
      </c>
      <c r="F33" s="35">
        <f>F30+F31+F32</f>
        <v>33809.360000000001</v>
      </c>
    </row>
    <row r="34" spans="1:6" ht="15" thickBot="1" x14ac:dyDescent="0.35">
      <c r="A34" s="73" t="str">
        <f>SpellNumber(F33)</f>
        <v xml:space="preserve">Rupees ThirtyThree Thousand Eight Hundred Nine Paise ThirtySix Only </v>
      </c>
      <c r="B34" s="74"/>
      <c r="C34" s="74"/>
      <c r="D34" s="74"/>
      <c r="E34" s="74"/>
      <c r="F34" s="75"/>
    </row>
  </sheetData>
  <mergeCells count="13">
    <mergeCell ref="A34:F34"/>
    <mergeCell ref="A8:D8"/>
    <mergeCell ref="A9:D9"/>
    <mergeCell ref="A10:D10"/>
    <mergeCell ref="A11:D11"/>
    <mergeCell ref="L12:N12"/>
    <mergeCell ref="A13:F13"/>
    <mergeCell ref="A1:F1"/>
    <mergeCell ref="A2:F2"/>
    <mergeCell ref="A3:F3"/>
    <mergeCell ref="A4:F4"/>
    <mergeCell ref="A6:D6"/>
    <mergeCell ref="A7:D7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G21" sqref="G21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38"/>
      <c r="H6" s="13"/>
      <c r="I6" s="38"/>
      <c r="J6" s="37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</row>
    <row r="7" spans="1:27" ht="15.6" x14ac:dyDescent="0.3">
      <c r="A7" s="76" t="s">
        <v>79</v>
      </c>
      <c r="B7" s="77"/>
      <c r="C7" s="77"/>
      <c r="D7" s="77"/>
      <c r="E7" s="15" t="s">
        <v>3</v>
      </c>
      <c r="F7" s="17" t="s">
        <v>4</v>
      </c>
      <c r="G7" s="38"/>
      <c r="H7" s="18"/>
      <c r="I7" s="38"/>
      <c r="J7" s="37"/>
      <c r="K7" s="37"/>
      <c r="L7" s="37"/>
      <c r="M7" s="37"/>
      <c r="N7" s="37"/>
      <c r="O7" s="38"/>
      <c r="P7" s="38"/>
      <c r="Q7" s="10"/>
      <c r="R7" s="38"/>
      <c r="S7" s="38"/>
      <c r="T7" s="38"/>
      <c r="U7" s="38"/>
      <c r="V7" s="38"/>
      <c r="W7" s="38"/>
      <c r="X7" s="38"/>
      <c r="Y7" s="38"/>
      <c r="Z7" s="38"/>
      <c r="AA7" s="38"/>
    </row>
    <row r="8" spans="1:27" ht="15.6" x14ac:dyDescent="0.3">
      <c r="A8" s="88" t="s">
        <v>80</v>
      </c>
      <c r="B8" s="89"/>
      <c r="C8" s="89"/>
      <c r="D8" s="89"/>
      <c r="E8" s="15" t="s">
        <v>6</v>
      </c>
      <c r="F8" s="17">
        <v>380893</v>
      </c>
      <c r="G8" s="38"/>
      <c r="H8" s="12"/>
      <c r="I8" s="38"/>
      <c r="J8" s="37"/>
      <c r="K8" s="37"/>
      <c r="L8" s="37"/>
      <c r="M8" s="38"/>
      <c r="N8" s="38"/>
      <c r="O8" s="38"/>
      <c r="P8" s="38"/>
      <c r="Q8" s="11"/>
      <c r="R8" s="38"/>
      <c r="S8" s="38"/>
      <c r="T8" s="38"/>
      <c r="U8" s="38"/>
      <c r="V8" s="38"/>
      <c r="W8" s="38"/>
      <c r="X8" s="38"/>
      <c r="Y8" s="38"/>
      <c r="Z8" s="38"/>
      <c r="AA8" s="38"/>
    </row>
    <row r="9" spans="1:27" ht="15.6" x14ac:dyDescent="0.3">
      <c r="A9" s="90" t="s">
        <v>81</v>
      </c>
      <c r="B9" s="91"/>
      <c r="C9" s="91"/>
      <c r="D9" s="91"/>
      <c r="E9" s="15" t="s">
        <v>8</v>
      </c>
      <c r="F9" s="17" t="s">
        <v>9</v>
      </c>
      <c r="G9" s="38"/>
      <c r="H9" s="18"/>
      <c r="I9" s="51"/>
      <c r="J9" s="37"/>
      <c r="K9" s="37"/>
      <c r="L9" s="37"/>
      <c r="M9" s="38"/>
      <c r="N9" s="38"/>
      <c r="O9" s="38"/>
      <c r="P9" s="38"/>
      <c r="Q9" s="11"/>
      <c r="R9" s="38"/>
      <c r="S9" s="38"/>
      <c r="T9" s="38"/>
      <c r="U9" s="38"/>
      <c r="V9" s="38"/>
      <c r="W9" s="38"/>
      <c r="X9" s="38"/>
      <c r="Y9" s="38"/>
      <c r="Z9" s="38"/>
      <c r="AA9" s="38"/>
    </row>
    <row r="10" spans="1:27" ht="15.6" x14ac:dyDescent="0.3">
      <c r="A10" s="90" t="s">
        <v>82</v>
      </c>
      <c r="B10" s="91"/>
      <c r="C10" s="91"/>
      <c r="D10" s="91"/>
      <c r="E10" s="15" t="s">
        <v>11</v>
      </c>
      <c r="F10" s="17">
        <v>1716</v>
      </c>
      <c r="G10" s="38"/>
      <c r="H10" s="12"/>
      <c r="I10" s="38"/>
      <c r="J10" s="38"/>
      <c r="K10" s="38"/>
      <c r="L10" s="37"/>
      <c r="M10" s="38"/>
      <c r="N10" s="38"/>
      <c r="O10" s="38"/>
      <c r="P10" s="38"/>
      <c r="Q10" s="11"/>
      <c r="R10" s="38"/>
      <c r="S10" s="38"/>
      <c r="T10" s="38"/>
      <c r="U10" s="38"/>
      <c r="V10" s="38"/>
      <c r="W10" s="38"/>
      <c r="X10" s="38"/>
      <c r="Y10" s="38"/>
      <c r="Z10" s="38"/>
      <c r="AA10" s="38"/>
    </row>
    <row r="11" spans="1:27" ht="23.4" thickBot="1" x14ac:dyDescent="0.35">
      <c r="A11" s="78" t="s">
        <v>83</v>
      </c>
      <c r="B11" s="79"/>
      <c r="C11" s="79"/>
      <c r="D11" s="79"/>
      <c r="E11" s="24"/>
      <c r="F11" s="24"/>
      <c r="G11" s="38"/>
      <c r="I11" s="51"/>
      <c r="J11" s="37"/>
      <c r="K11" s="51"/>
      <c r="L11" s="38"/>
      <c r="M11" s="38"/>
      <c r="N11" s="38"/>
      <c r="O11" s="38"/>
      <c r="P11" s="38"/>
      <c r="Q11" s="11"/>
      <c r="R11" s="38"/>
      <c r="S11" s="38"/>
      <c r="T11" s="38"/>
      <c r="U11" s="38"/>
      <c r="V11" s="38"/>
      <c r="W11" s="38"/>
      <c r="X11" s="38"/>
      <c r="Y11" s="38"/>
      <c r="Z11" s="38"/>
      <c r="AA11" s="38"/>
    </row>
    <row r="12" spans="1:27" ht="15.6" x14ac:dyDescent="0.3">
      <c r="F12" s="38"/>
      <c r="G12" s="38"/>
      <c r="H12" s="38"/>
      <c r="I12" s="38"/>
      <c r="J12" s="37"/>
      <c r="K12" s="38"/>
      <c r="L12" s="71"/>
      <c r="M12" s="71"/>
      <c r="N12" s="71"/>
      <c r="O12" s="38"/>
      <c r="P12" s="38"/>
      <c r="Q12" s="11"/>
      <c r="R12" s="38"/>
      <c r="S12" s="38"/>
      <c r="T12" s="38"/>
      <c r="U12" s="38"/>
      <c r="V12" s="38"/>
      <c r="W12" s="38"/>
      <c r="X12" s="38"/>
      <c r="Y12" s="38"/>
      <c r="Z12" s="38"/>
      <c r="AA12" s="38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23"/>
      <c r="I13" s="52"/>
      <c r="J13" s="38"/>
      <c r="K13" s="38"/>
      <c r="L13" s="38"/>
      <c r="M13" s="38"/>
      <c r="N13" s="38"/>
      <c r="O13" s="38"/>
      <c r="P13" s="38"/>
      <c r="Q13" s="11"/>
      <c r="R13" s="38"/>
      <c r="S13" s="38"/>
      <c r="T13" s="38"/>
      <c r="U13" s="38"/>
      <c r="V13" s="38"/>
      <c r="W13" s="38"/>
      <c r="X13" s="38"/>
      <c r="Y13" s="38"/>
      <c r="Z13" s="38"/>
      <c r="AA13" s="38"/>
    </row>
    <row r="14" spans="1:27" ht="16.2" thickBot="1" x14ac:dyDescent="0.35">
      <c r="I14" s="38"/>
      <c r="J14" s="51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</row>
    <row r="16" spans="1:27" x14ac:dyDescent="0.3">
      <c r="A16" s="5"/>
      <c r="B16" s="4"/>
      <c r="C16" s="38"/>
      <c r="D16" s="4"/>
      <c r="E16" s="4"/>
      <c r="F16" s="4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</row>
    <row r="17" spans="1:27" x14ac:dyDescent="0.3">
      <c r="A17" s="33">
        <v>1</v>
      </c>
      <c r="B17" s="4"/>
      <c r="C17" s="55" t="s">
        <v>84</v>
      </c>
      <c r="D17" s="33">
        <v>15</v>
      </c>
      <c r="E17" s="33">
        <v>980</v>
      </c>
      <c r="F17" s="33">
        <f>D17*E17</f>
        <v>14700</v>
      </c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</row>
    <row r="18" spans="1:27" ht="15.6" x14ac:dyDescent="0.3">
      <c r="A18" s="33">
        <v>2</v>
      </c>
      <c r="B18" s="4"/>
      <c r="C18" s="43" t="s">
        <v>85</v>
      </c>
      <c r="D18" s="33">
        <v>15</v>
      </c>
      <c r="E18" s="33">
        <v>650</v>
      </c>
      <c r="F18" s="33">
        <f>D18*E18</f>
        <v>9750</v>
      </c>
      <c r="K18" s="43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</row>
    <row r="19" spans="1:27" ht="15.6" x14ac:dyDescent="0.3">
      <c r="A19" s="33">
        <v>3</v>
      </c>
      <c r="B19" s="4"/>
      <c r="C19" s="43" t="s">
        <v>86</v>
      </c>
      <c r="D19" s="33">
        <v>14</v>
      </c>
      <c r="E19" s="33">
        <v>600</v>
      </c>
      <c r="F19" s="33">
        <f>D19*E19</f>
        <v>8400</v>
      </c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</row>
    <row r="20" spans="1:27" x14ac:dyDescent="0.3">
      <c r="A20" s="33"/>
      <c r="B20" s="4"/>
      <c r="C20" s="48"/>
      <c r="D20" s="33"/>
      <c r="E20" s="33"/>
      <c r="F20" s="33"/>
    </row>
    <row r="21" spans="1:27" ht="15.6" x14ac:dyDescent="0.3">
      <c r="A21" s="33"/>
      <c r="B21" s="4"/>
      <c r="C21" s="45"/>
      <c r="D21" s="33"/>
      <c r="E21" s="33"/>
      <c r="F21" s="33"/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1"/>
      <c r="E30" s="28" t="s">
        <v>17</v>
      </c>
      <c r="F30" s="32">
        <f>F17+F18+F19+F20+F21</f>
        <v>32850</v>
      </c>
    </row>
    <row r="31" spans="1:27" ht="18.600000000000001" thickBot="1" x14ac:dyDescent="0.4">
      <c r="A31" s="5" t="s">
        <v>100</v>
      </c>
      <c r="B31" s="62"/>
      <c r="C31" s="62"/>
      <c r="D31" s="38"/>
      <c r="E31" s="29" t="s">
        <v>18</v>
      </c>
      <c r="F31" s="36">
        <f>F30*9/100</f>
        <v>2956.5</v>
      </c>
    </row>
    <row r="32" spans="1:27" ht="15" thickBot="1" x14ac:dyDescent="0.35">
      <c r="A32" s="5" t="s">
        <v>97</v>
      </c>
      <c r="B32" s="62"/>
      <c r="C32" s="62"/>
      <c r="D32" s="38"/>
      <c r="E32" s="28" t="s">
        <v>22</v>
      </c>
      <c r="F32" s="36">
        <f>F30*9/100</f>
        <v>2956.5</v>
      </c>
    </row>
    <row r="33" spans="1:6" ht="16.2" thickBot="1" x14ac:dyDescent="0.35">
      <c r="A33" s="7" t="s">
        <v>98</v>
      </c>
      <c r="B33" s="3"/>
      <c r="C33" s="3"/>
      <c r="D33" s="3"/>
      <c r="E33" s="30" t="s">
        <v>19</v>
      </c>
      <c r="F33" s="35">
        <f>F30+F31+F32</f>
        <v>38763</v>
      </c>
    </row>
    <row r="34" spans="1:6" ht="15" thickBot="1" x14ac:dyDescent="0.35">
      <c r="A34" s="73" t="str">
        <f>SpellNumber(F33)</f>
        <v xml:space="preserve">Rupees ThirtyEight Thousand Seven Hundred SixtyThree Only </v>
      </c>
      <c r="B34" s="74"/>
      <c r="C34" s="74"/>
      <c r="D34" s="74"/>
      <c r="E34" s="74"/>
      <c r="F34" s="75"/>
    </row>
  </sheetData>
  <mergeCells count="13">
    <mergeCell ref="A34:F34"/>
    <mergeCell ref="A8:D8"/>
    <mergeCell ref="A9:D9"/>
    <mergeCell ref="A10:D10"/>
    <mergeCell ref="A11:D11"/>
    <mergeCell ref="L12:N12"/>
    <mergeCell ref="A13:F13"/>
    <mergeCell ref="A1:F1"/>
    <mergeCell ref="A2:F2"/>
    <mergeCell ref="A3:F3"/>
    <mergeCell ref="A4:F4"/>
    <mergeCell ref="A6:D6"/>
    <mergeCell ref="A7:D7"/>
  </mergeCells>
  <pageMargins left="0.7" right="0.7" top="0.75" bottom="0.75" header="0.3" footer="0.3"/>
  <pageSetup paperSize="9" scale="55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H10" sqref="H10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38"/>
      <c r="H6" s="13"/>
      <c r="I6" s="38"/>
      <c r="J6" s="37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</row>
    <row r="7" spans="1:27" ht="15.6" x14ac:dyDescent="0.3">
      <c r="A7" s="76" t="s">
        <v>87</v>
      </c>
      <c r="B7" s="77"/>
      <c r="C7" s="77"/>
      <c r="D7" s="77"/>
      <c r="E7" s="15" t="s">
        <v>3</v>
      </c>
      <c r="F7" s="17" t="s">
        <v>4</v>
      </c>
      <c r="G7" s="38"/>
      <c r="H7" s="18"/>
      <c r="I7" s="38"/>
      <c r="J7" s="37"/>
      <c r="K7" s="37"/>
      <c r="L7" s="37"/>
      <c r="M7" s="37"/>
      <c r="N7" s="37"/>
      <c r="O7" s="38"/>
      <c r="P7" s="38"/>
      <c r="Q7" s="10"/>
      <c r="R7" s="38"/>
      <c r="S7" s="38"/>
      <c r="T7" s="38"/>
      <c r="U7" s="38"/>
      <c r="V7" s="38"/>
      <c r="W7" s="38"/>
      <c r="X7" s="38"/>
      <c r="Y7" s="38"/>
      <c r="Z7" s="38"/>
      <c r="AA7" s="38"/>
    </row>
    <row r="8" spans="1:27" ht="15.6" x14ac:dyDescent="0.3">
      <c r="A8" s="88" t="s">
        <v>88</v>
      </c>
      <c r="B8" s="89"/>
      <c r="C8" s="89"/>
      <c r="D8" s="89"/>
      <c r="E8" s="15" t="s">
        <v>6</v>
      </c>
      <c r="F8" s="17">
        <v>380893</v>
      </c>
      <c r="G8" s="38"/>
      <c r="H8" s="12"/>
      <c r="I8" s="38"/>
      <c r="J8" s="37"/>
      <c r="K8" s="37"/>
      <c r="L8" s="37"/>
      <c r="M8" s="38"/>
      <c r="N8" s="38"/>
      <c r="O8" s="38"/>
      <c r="P8" s="38"/>
      <c r="Q8" s="11"/>
      <c r="R8" s="38"/>
      <c r="S8" s="38"/>
      <c r="T8" s="38"/>
      <c r="U8" s="38"/>
      <c r="V8" s="38"/>
      <c r="W8" s="38"/>
      <c r="X8" s="38"/>
      <c r="Y8" s="38"/>
      <c r="Z8" s="38"/>
      <c r="AA8" s="38"/>
    </row>
    <row r="9" spans="1:27" ht="15.6" x14ac:dyDescent="0.3">
      <c r="A9" s="90" t="s">
        <v>89</v>
      </c>
      <c r="B9" s="91"/>
      <c r="C9" s="91"/>
      <c r="D9" s="91"/>
      <c r="E9" s="15" t="s">
        <v>8</v>
      </c>
      <c r="F9" s="17" t="s">
        <v>9</v>
      </c>
      <c r="G9" s="38"/>
      <c r="H9" s="18"/>
      <c r="I9" s="51"/>
      <c r="J9" s="37"/>
      <c r="K9" s="37"/>
      <c r="L9" s="37"/>
      <c r="M9" s="38"/>
      <c r="N9" s="38"/>
      <c r="O9" s="38"/>
      <c r="P9" s="38"/>
      <c r="Q9" s="11"/>
      <c r="R9" s="38"/>
      <c r="S9" s="38"/>
      <c r="T9" s="38"/>
      <c r="U9" s="38"/>
      <c r="V9" s="38"/>
      <c r="W9" s="38"/>
      <c r="X9" s="38"/>
      <c r="Y9" s="38"/>
      <c r="Z9" s="38"/>
      <c r="AA9" s="38"/>
    </row>
    <row r="10" spans="1:27" ht="15.6" x14ac:dyDescent="0.3">
      <c r="A10" s="90" t="s">
        <v>90</v>
      </c>
      <c r="B10" s="91"/>
      <c r="C10" s="91"/>
      <c r="D10" s="91"/>
      <c r="E10" s="15" t="s">
        <v>11</v>
      </c>
      <c r="F10" s="17">
        <v>1680</v>
      </c>
      <c r="G10" s="38"/>
      <c r="H10" s="12"/>
      <c r="I10" s="38"/>
      <c r="J10" s="38"/>
      <c r="K10" s="38"/>
      <c r="L10" s="37"/>
      <c r="M10" s="38"/>
      <c r="N10" s="38"/>
      <c r="O10" s="38"/>
      <c r="P10" s="38"/>
      <c r="Q10" s="11"/>
      <c r="R10" s="38"/>
      <c r="S10" s="38"/>
      <c r="T10" s="38"/>
      <c r="U10" s="38"/>
      <c r="V10" s="38"/>
      <c r="W10" s="38"/>
      <c r="X10" s="38"/>
      <c r="Y10" s="38"/>
      <c r="Z10" s="38"/>
      <c r="AA10" s="38"/>
    </row>
    <row r="11" spans="1:27" ht="23.4" thickBot="1" x14ac:dyDescent="0.35">
      <c r="A11" s="78" t="s">
        <v>91</v>
      </c>
      <c r="B11" s="79"/>
      <c r="C11" s="79"/>
      <c r="D11" s="79"/>
      <c r="E11" s="24"/>
      <c r="F11" s="24"/>
      <c r="G11" s="38"/>
      <c r="I11" s="51"/>
      <c r="J11" s="37"/>
      <c r="K11" s="51"/>
      <c r="L11" s="38"/>
      <c r="M11" s="38"/>
      <c r="N11" s="38"/>
      <c r="O11" s="38"/>
      <c r="P11" s="38"/>
      <c r="Q11" s="11"/>
      <c r="R11" s="38"/>
      <c r="S11" s="38"/>
      <c r="T11" s="38"/>
      <c r="U11" s="38"/>
      <c r="V11" s="38"/>
      <c r="W11" s="38"/>
      <c r="X11" s="38"/>
      <c r="Y11" s="38"/>
      <c r="Z11" s="38"/>
      <c r="AA11" s="38"/>
    </row>
    <row r="12" spans="1:27" ht="15.6" x14ac:dyDescent="0.3">
      <c r="F12" s="38"/>
      <c r="G12" s="38"/>
      <c r="H12" s="38"/>
      <c r="I12" s="38"/>
      <c r="J12" s="37"/>
      <c r="K12" s="38"/>
      <c r="L12" s="71"/>
      <c r="M12" s="71"/>
      <c r="N12" s="71"/>
      <c r="O12" s="38"/>
      <c r="P12" s="38"/>
      <c r="Q12" s="11"/>
      <c r="R12" s="38"/>
      <c r="S12" s="38"/>
      <c r="T12" s="38"/>
      <c r="U12" s="38"/>
      <c r="V12" s="38"/>
      <c r="W12" s="38"/>
      <c r="X12" s="38"/>
      <c r="Y12" s="38"/>
      <c r="Z12" s="38"/>
      <c r="AA12" s="38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23"/>
      <c r="I13" s="52"/>
      <c r="J13" s="38"/>
      <c r="K13" s="38"/>
      <c r="L13" s="38"/>
      <c r="M13" s="38"/>
      <c r="N13" s="38"/>
      <c r="O13" s="38"/>
      <c r="P13" s="38"/>
      <c r="Q13" s="11"/>
      <c r="R13" s="38"/>
      <c r="S13" s="38"/>
      <c r="T13" s="38"/>
      <c r="U13" s="38"/>
      <c r="V13" s="38"/>
      <c r="W13" s="38"/>
      <c r="X13" s="38"/>
      <c r="Y13" s="38"/>
      <c r="Z13" s="38"/>
      <c r="AA13" s="38"/>
    </row>
    <row r="14" spans="1:27" ht="16.2" thickBot="1" x14ac:dyDescent="0.35">
      <c r="I14" s="38"/>
      <c r="J14" s="51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</row>
    <row r="16" spans="1:27" x14ac:dyDescent="0.3">
      <c r="A16" s="5"/>
      <c r="B16" s="4"/>
      <c r="C16" s="38"/>
      <c r="D16" s="4"/>
      <c r="E16" s="4"/>
      <c r="F16" s="4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</row>
    <row r="17" spans="1:27" ht="18" x14ac:dyDescent="0.35">
      <c r="A17" s="33">
        <v>1</v>
      </c>
      <c r="B17" s="4"/>
      <c r="C17" s="42" t="s">
        <v>92</v>
      </c>
      <c r="D17" s="33">
        <v>18</v>
      </c>
      <c r="E17" s="33">
        <v>684</v>
      </c>
      <c r="F17" s="33">
        <f>D17*E17</f>
        <v>12312</v>
      </c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</row>
    <row r="18" spans="1:27" ht="15.6" x14ac:dyDescent="0.3">
      <c r="A18" s="33">
        <v>2</v>
      </c>
      <c r="B18" s="4"/>
      <c r="C18" s="43" t="s">
        <v>93</v>
      </c>
      <c r="D18" s="33">
        <v>16</v>
      </c>
      <c r="E18" s="33">
        <v>684</v>
      </c>
      <c r="F18" s="33">
        <f>D18*E18</f>
        <v>10944</v>
      </c>
      <c r="K18" s="43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</row>
    <row r="19" spans="1:27" ht="15.6" x14ac:dyDescent="0.3">
      <c r="A19" s="33">
        <v>3</v>
      </c>
      <c r="B19" s="4"/>
      <c r="C19" s="43" t="s">
        <v>94</v>
      </c>
      <c r="D19" s="33">
        <v>16</v>
      </c>
      <c r="E19" s="33">
        <v>684</v>
      </c>
      <c r="F19" s="33">
        <f>D19*E19</f>
        <v>10944</v>
      </c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</row>
    <row r="20" spans="1:27" x14ac:dyDescent="0.3">
      <c r="A20" s="33">
        <v>4</v>
      </c>
      <c r="B20" s="4"/>
      <c r="C20" s="56" t="s">
        <v>95</v>
      </c>
      <c r="D20" s="33">
        <v>11</v>
      </c>
      <c r="E20" s="33">
        <v>1064</v>
      </c>
      <c r="F20" s="33">
        <f t="shared" ref="F20:F21" si="0">D20*E20</f>
        <v>11704</v>
      </c>
    </row>
    <row r="21" spans="1:27" x14ac:dyDescent="0.3">
      <c r="A21" s="33">
        <v>5</v>
      </c>
      <c r="B21" s="4"/>
      <c r="C21" s="53" t="s">
        <v>96</v>
      </c>
      <c r="D21" s="33">
        <v>14</v>
      </c>
      <c r="E21" s="33">
        <v>1063</v>
      </c>
      <c r="F21" s="33">
        <f t="shared" si="0"/>
        <v>14882</v>
      </c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</f>
        <v>60786</v>
      </c>
    </row>
    <row r="31" spans="1:27" ht="18.600000000000001" thickBot="1" x14ac:dyDescent="0.4">
      <c r="A31" s="5" t="s">
        <v>100</v>
      </c>
      <c r="B31" s="38"/>
      <c r="C31" s="38"/>
      <c r="D31" s="58"/>
      <c r="E31" s="29" t="s">
        <v>18</v>
      </c>
      <c r="F31" s="36">
        <f>F30*9/100</f>
        <v>5470.74</v>
      </c>
    </row>
    <row r="32" spans="1:27" ht="15" thickBot="1" x14ac:dyDescent="0.35">
      <c r="A32" s="5" t="s">
        <v>97</v>
      </c>
      <c r="B32" s="38"/>
      <c r="C32" s="38"/>
      <c r="D32" s="58"/>
      <c r="E32" s="28" t="s">
        <v>22</v>
      </c>
      <c r="F32" s="36">
        <f>F30*9/100</f>
        <v>5470.74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71727.48000000001</v>
      </c>
    </row>
    <row r="34" spans="1:6" ht="15" thickBot="1" x14ac:dyDescent="0.35">
      <c r="A34" s="73" t="str">
        <f>SpellNumber(F33)</f>
        <v xml:space="preserve">Rupees SeventyOne Thousand Seven Hundred TwentySeven Paise FourtyEight Only </v>
      </c>
      <c r="B34" s="74"/>
      <c r="C34" s="74"/>
      <c r="D34" s="74"/>
      <c r="E34" s="74"/>
      <c r="F34" s="75"/>
    </row>
  </sheetData>
  <mergeCells count="13">
    <mergeCell ref="A34:F34"/>
    <mergeCell ref="A8:D8"/>
    <mergeCell ref="A9:D9"/>
    <mergeCell ref="A10:D10"/>
    <mergeCell ref="A11:D11"/>
    <mergeCell ref="L12:N12"/>
    <mergeCell ref="A13:F13"/>
    <mergeCell ref="A1:F1"/>
    <mergeCell ref="A2:F2"/>
    <mergeCell ref="A3:F3"/>
    <mergeCell ref="A4:F4"/>
    <mergeCell ref="A6:D6"/>
    <mergeCell ref="A7:D7"/>
  </mergeCells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E17" sqref="E17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38"/>
      <c r="H6" s="13"/>
      <c r="I6" s="38"/>
      <c r="J6" s="37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</row>
    <row r="7" spans="1:27" ht="15.6" x14ac:dyDescent="0.3">
      <c r="A7" s="76" t="s">
        <v>101</v>
      </c>
      <c r="B7" s="77"/>
      <c r="C7" s="77"/>
      <c r="D7" s="77"/>
      <c r="E7" s="15" t="s">
        <v>3</v>
      </c>
      <c r="F7" s="17" t="s">
        <v>4</v>
      </c>
      <c r="G7" s="38"/>
      <c r="H7" s="18"/>
      <c r="I7" s="38"/>
      <c r="J7" s="37"/>
      <c r="K7" s="37"/>
      <c r="L7" s="37"/>
      <c r="M7" s="37"/>
      <c r="N7" s="37"/>
      <c r="O7" s="38"/>
      <c r="P7" s="38"/>
      <c r="Q7" s="10"/>
      <c r="R7" s="38"/>
      <c r="S7" s="38"/>
      <c r="T7" s="38"/>
      <c r="U7" s="38"/>
      <c r="V7" s="38"/>
      <c r="W7" s="38"/>
      <c r="X7" s="38"/>
      <c r="Y7" s="38"/>
      <c r="Z7" s="38"/>
      <c r="AA7" s="38"/>
    </row>
    <row r="8" spans="1:27" ht="15.6" x14ac:dyDescent="0.3">
      <c r="A8" s="88" t="s">
        <v>102</v>
      </c>
      <c r="B8" s="89"/>
      <c r="C8" s="89"/>
      <c r="D8" s="89"/>
      <c r="E8" s="15" t="s">
        <v>6</v>
      </c>
      <c r="F8" s="17">
        <v>380893</v>
      </c>
      <c r="G8" s="38"/>
      <c r="H8" s="12"/>
      <c r="I8" s="38"/>
      <c r="J8" s="37"/>
      <c r="K8" s="37"/>
      <c r="L8" s="37"/>
      <c r="M8" s="38"/>
      <c r="N8" s="38"/>
      <c r="O8" s="38"/>
      <c r="P8" s="38"/>
      <c r="Q8" s="11"/>
      <c r="R8" s="38"/>
      <c r="S8" s="38"/>
      <c r="T8" s="38"/>
      <c r="U8" s="38"/>
      <c r="V8" s="38"/>
      <c r="W8" s="38"/>
      <c r="X8" s="38"/>
      <c r="Y8" s="38"/>
      <c r="Z8" s="38"/>
      <c r="AA8" s="38"/>
    </row>
    <row r="9" spans="1:27" ht="15.6" x14ac:dyDescent="0.3">
      <c r="A9" s="90" t="s">
        <v>103</v>
      </c>
      <c r="B9" s="91"/>
      <c r="C9" s="91"/>
      <c r="D9" s="91"/>
      <c r="E9" s="15" t="s">
        <v>8</v>
      </c>
      <c r="F9" s="17" t="s">
        <v>9</v>
      </c>
      <c r="G9" s="38"/>
      <c r="H9" s="18"/>
      <c r="I9" s="51"/>
      <c r="J9" s="37"/>
      <c r="K9" s="37"/>
      <c r="L9" s="37"/>
      <c r="M9" s="38"/>
      <c r="N9" s="38"/>
      <c r="O9" s="38"/>
      <c r="P9" s="38"/>
      <c r="Q9" s="11"/>
      <c r="R9" s="38"/>
      <c r="S9" s="38"/>
      <c r="T9" s="38"/>
      <c r="U9" s="38"/>
      <c r="V9" s="38"/>
      <c r="W9" s="38"/>
      <c r="X9" s="38"/>
      <c r="Y9" s="38"/>
      <c r="Z9" s="38"/>
      <c r="AA9" s="38"/>
    </row>
    <row r="10" spans="1:27" ht="15.6" x14ac:dyDescent="0.3">
      <c r="A10" s="90" t="s">
        <v>104</v>
      </c>
      <c r="B10" s="91"/>
      <c r="C10" s="91"/>
      <c r="D10" s="91"/>
      <c r="E10" s="15" t="s">
        <v>11</v>
      </c>
      <c r="F10" s="17">
        <v>1682</v>
      </c>
      <c r="G10" s="38"/>
      <c r="H10" s="12"/>
      <c r="I10" s="38"/>
      <c r="J10" s="38"/>
      <c r="K10" s="38"/>
      <c r="L10" s="37"/>
      <c r="M10" s="38"/>
      <c r="N10" s="38"/>
      <c r="O10" s="38"/>
      <c r="P10" s="38"/>
      <c r="Q10" s="11"/>
      <c r="R10" s="38"/>
      <c r="S10" s="38"/>
      <c r="T10" s="38"/>
      <c r="U10" s="38"/>
      <c r="V10" s="38"/>
      <c r="W10" s="38"/>
      <c r="X10" s="38"/>
      <c r="Y10" s="38"/>
      <c r="Z10" s="38"/>
      <c r="AA10" s="38"/>
    </row>
    <row r="11" spans="1:27" ht="23.4" thickBot="1" x14ac:dyDescent="0.35">
      <c r="A11" s="78" t="s">
        <v>105</v>
      </c>
      <c r="B11" s="79"/>
      <c r="C11" s="79"/>
      <c r="D11" s="79"/>
      <c r="E11" s="24"/>
      <c r="F11" s="24"/>
      <c r="G11" s="38"/>
      <c r="I11" s="51"/>
      <c r="J11" s="37"/>
      <c r="K11" s="51"/>
      <c r="L11" s="38"/>
      <c r="M11" s="38"/>
      <c r="N11" s="38"/>
      <c r="O11" s="38"/>
      <c r="P11" s="38"/>
      <c r="Q11" s="11"/>
      <c r="R11" s="38"/>
      <c r="S11" s="38"/>
      <c r="T11" s="38"/>
      <c r="U11" s="38"/>
      <c r="V11" s="38"/>
      <c r="W11" s="38"/>
      <c r="X11" s="38"/>
      <c r="Y11" s="38"/>
      <c r="Z11" s="38"/>
      <c r="AA11" s="38"/>
    </row>
    <row r="12" spans="1:27" ht="15.6" x14ac:dyDescent="0.3">
      <c r="F12" s="38"/>
      <c r="G12" s="38"/>
      <c r="H12" s="38"/>
      <c r="I12" s="38"/>
      <c r="J12" s="37"/>
      <c r="K12" s="38"/>
      <c r="L12" s="71"/>
      <c r="M12" s="71"/>
      <c r="N12" s="71"/>
      <c r="O12" s="38"/>
      <c r="P12" s="38"/>
      <c r="Q12" s="11"/>
      <c r="R12" s="38"/>
      <c r="S12" s="38"/>
      <c r="T12" s="38"/>
      <c r="U12" s="38"/>
      <c r="V12" s="38"/>
      <c r="W12" s="38"/>
      <c r="X12" s="38"/>
      <c r="Y12" s="38"/>
      <c r="Z12" s="38"/>
      <c r="AA12" s="38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23"/>
      <c r="I13" s="52"/>
      <c r="J13" s="38"/>
      <c r="K13" s="38"/>
      <c r="L13" s="38"/>
      <c r="M13" s="38"/>
      <c r="N13" s="38"/>
      <c r="O13" s="38"/>
      <c r="P13" s="38"/>
      <c r="Q13" s="11"/>
      <c r="R13" s="38"/>
      <c r="S13" s="38"/>
      <c r="T13" s="38"/>
      <c r="U13" s="38"/>
      <c r="V13" s="38"/>
      <c r="W13" s="38"/>
      <c r="X13" s="38"/>
      <c r="Y13" s="38"/>
      <c r="Z13" s="38"/>
      <c r="AA13" s="38"/>
    </row>
    <row r="14" spans="1:27" ht="16.2" thickBot="1" x14ac:dyDescent="0.35">
      <c r="I14" s="38"/>
      <c r="J14" s="51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</row>
    <row r="16" spans="1:27" x14ac:dyDescent="0.3">
      <c r="A16" s="5"/>
      <c r="B16" s="4"/>
      <c r="C16" s="38"/>
      <c r="D16" s="4"/>
      <c r="E16" s="4"/>
      <c r="F16" s="4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</row>
    <row r="17" spans="1:27" ht="21" x14ac:dyDescent="0.4">
      <c r="A17" s="33">
        <v>1</v>
      </c>
      <c r="B17" s="4"/>
      <c r="C17" s="60" t="s">
        <v>106</v>
      </c>
      <c r="D17" s="33">
        <v>18</v>
      </c>
      <c r="E17" s="33">
        <v>550</v>
      </c>
      <c r="F17" s="33">
        <f>D17*E17</f>
        <v>9900</v>
      </c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</row>
    <row r="18" spans="1:27" ht="17.399999999999999" x14ac:dyDescent="0.3">
      <c r="A18" s="33">
        <v>2</v>
      </c>
      <c r="B18" s="4"/>
      <c r="C18" s="47" t="s">
        <v>107</v>
      </c>
      <c r="D18" s="33">
        <v>0</v>
      </c>
      <c r="E18" s="33">
        <v>550</v>
      </c>
      <c r="F18" s="33">
        <f>D18*E18</f>
        <v>0</v>
      </c>
      <c r="K18" s="43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</row>
    <row r="19" spans="1:27" ht="17.399999999999999" x14ac:dyDescent="0.3">
      <c r="A19" s="33">
        <v>3</v>
      </c>
      <c r="B19" s="4"/>
      <c r="C19" s="47" t="s">
        <v>108</v>
      </c>
      <c r="D19" s="33">
        <v>17</v>
      </c>
      <c r="E19" s="33">
        <v>550</v>
      </c>
      <c r="F19" s="33">
        <f>D19*E19</f>
        <v>9350</v>
      </c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</row>
    <row r="20" spans="1:27" ht="17.399999999999999" x14ac:dyDescent="0.3">
      <c r="A20" s="33">
        <v>4</v>
      </c>
      <c r="B20" s="4"/>
      <c r="C20" s="61" t="s">
        <v>109</v>
      </c>
      <c r="D20" s="33">
        <v>0</v>
      </c>
      <c r="E20" s="33">
        <v>550</v>
      </c>
      <c r="F20" s="33">
        <f t="shared" ref="F20" si="0">D20*E20</f>
        <v>0</v>
      </c>
    </row>
    <row r="21" spans="1:27" x14ac:dyDescent="0.3">
      <c r="A21" s="33"/>
      <c r="B21" s="4"/>
      <c r="C21" s="53"/>
      <c r="D21" s="33"/>
      <c r="E21" s="33"/>
      <c r="F21" s="33"/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</f>
        <v>19250</v>
      </c>
    </row>
    <row r="31" spans="1:27" ht="18.600000000000001" thickBot="1" x14ac:dyDescent="0.4">
      <c r="A31" s="5" t="s">
        <v>100</v>
      </c>
      <c r="B31" s="38"/>
      <c r="C31" s="38"/>
      <c r="D31" s="58"/>
      <c r="E31" s="29" t="s">
        <v>18</v>
      </c>
      <c r="F31" s="36">
        <f>F30*9/100</f>
        <v>1732.5</v>
      </c>
    </row>
    <row r="32" spans="1:27" ht="15" thickBot="1" x14ac:dyDescent="0.35">
      <c r="A32" s="5" t="s">
        <v>97</v>
      </c>
      <c r="B32" s="38"/>
      <c r="C32" s="38"/>
      <c r="D32" s="58"/>
      <c r="E32" s="28" t="s">
        <v>22</v>
      </c>
      <c r="F32" s="36">
        <f>F30*9/100</f>
        <v>1732.5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22715</v>
      </c>
    </row>
    <row r="34" spans="1:6" ht="15" thickBot="1" x14ac:dyDescent="0.35">
      <c r="A34" s="73" t="str">
        <f>SpellNumber(F33)</f>
        <v xml:space="preserve">Rupees TwentyTwo Thousand Seven Hundred Fifteen Only </v>
      </c>
      <c r="B34" s="74"/>
      <c r="C34" s="74"/>
      <c r="D34" s="74"/>
      <c r="E34" s="74"/>
      <c r="F34" s="75"/>
    </row>
  </sheetData>
  <mergeCells count="13">
    <mergeCell ref="A34:F34"/>
    <mergeCell ref="A8:D8"/>
    <mergeCell ref="A9:D9"/>
    <mergeCell ref="A10:D10"/>
    <mergeCell ref="A11:D11"/>
    <mergeCell ref="L12:N12"/>
    <mergeCell ref="A13:F13"/>
    <mergeCell ref="A1:F1"/>
    <mergeCell ref="A2:F2"/>
    <mergeCell ref="A3:F3"/>
    <mergeCell ref="A4:F4"/>
    <mergeCell ref="A6:D6"/>
    <mergeCell ref="A7:D7"/>
  </mergeCells>
  <pageMargins left="0.7" right="0.7" top="0.75" bottom="0.75" header="0.3" footer="0.3"/>
  <pageSetup paperSize="9" scale="55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D17" sqref="D17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110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111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112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113</v>
      </c>
      <c r="B10" s="91"/>
      <c r="C10" s="91"/>
      <c r="D10" s="91"/>
      <c r="E10" s="15" t="s">
        <v>11</v>
      </c>
      <c r="F10" s="17">
        <v>1683</v>
      </c>
      <c r="G10" s="40"/>
      <c r="H10" s="12"/>
      <c r="I10" s="41"/>
      <c r="J10" s="40"/>
      <c r="K10" s="40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115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4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114</v>
      </c>
      <c r="D17" s="33">
        <v>24</v>
      </c>
      <c r="E17" s="33">
        <v>1064</v>
      </c>
      <c r="F17" s="33">
        <f>D17*E17</f>
        <v>25536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/>
      <c r="B18" s="4"/>
      <c r="C18" s="47"/>
      <c r="D18" s="33"/>
      <c r="E18" s="33"/>
      <c r="F18" s="33"/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x14ac:dyDescent="0.3">
      <c r="A21" s="33"/>
      <c r="B21" s="4"/>
      <c r="C21" s="53"/>
      <c r="D21" s="33"/>
      <c r="E21" s="33"/>
      <c r="F21" s="33"/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</f>
        <v>25536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2298.2399999999998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2298.2399999999998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30132.479999999996</v>
      </c>
    </row>
    <row r="34" spans="1:6" ht="15" thickBot="1" x14ac:dyDescent="0.35">
      <c r="A34" s="73" t="str">
        <f>SpellNumber(F33)</f>
        <v xml:space="preserve">Rupees Thirty Thousand One Hundred ThirtyTwo Paise FourtyEight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D17" sqref="D17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116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117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118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119</v>
      </c>
      <c r="B10" s="91"/>
      <c r="C10" s="91"/>
      <c r="D10" s="91"/>
      <c r="E10" s="15" t="s">
        <v>11</v>
      </c>
      <c r="F10" s="17">
        <v>1685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120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4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121</v>
      </c>
      <c r="D17" s="33">
        <v>17</v>
      </c>
      <c r="E17" s="33">
        <v>684</v>
      </c>
      <c r="F17" s="33">
        <f>D17*E17</f>
        <v>11628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/>
      <c r="B18" s="4"/>
      <c r="C18" s="47"/>
      <c r="D18" s="33"/>
      <c r="E18" s="33"/>
      <c r="F18" s="33"/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x14ac:dyDescent="0.3">
      <c r="A21" s="33"/>
      <c r="B21" s="4"/>
      <c r="C21" s="53"/>
      <c r="D21" s="33"/>
      <c r="E21" s="33"/>
      <c r="F21" s="33"/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</f>
        <v>11628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1046.52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1046.52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13721.04</v>
      </c>
    </row>
    <row r="34" spans="1:6" ht="15" thickBot="1" x14ac:dyDescent="0.35">
      <c r="A34" s="73" t="str">
        <f>SpellNumber(F33)</f>
        <v xml:space="preserve">Rupees Thirteen Thousand Seven Hundred TwentyOne Paise Four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0866141732283472" right="0.70866141732283472" top="0.74803149606299213" bottom="0.74803149606299213" header="0.31496062992125984" footer="0.31496062992125984"/>
  <pageSetup paperSize="9" scale="54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J18" sqref="J18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122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123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124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125</v>
      </c>
      <c r="B10" s="91"/>
      <c r="C10" s="91"/>
      <c r="D10" s="91"/>
      <c r="E10" s="15" t="s">
        <v>11</v>
      </c>
      <c r="F10" s="17">
        <v>1696</v>
      </c>
      <c r="G10" s="40"/>
      <c r="H10" s="12"/>
      <c r="I10" s="41"/>
      <c r="J10" s="41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126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4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127</v>
      </c>
      <c r="D17" s="33">
        <v>17</v>
      </c>
      <c r="E17" s="33">
        <v>684</v>
      </c>
      <c r="F17" s="33">
        <f>D17*E17</f>
        <v>11628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/>
      <c r="B18" s="4"/>
      <c r="C18" s="47"/>
      <c r="D18" s="33"/>
      <c r="E18" s="33"/>
      <c r="F18" s="33"/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x14ac:dyDescent="0.3">
      <c r="A21" s="33"/>
      <c r="B21" s="4"/>
      <c r="C21" s="53"/>
      <c r="D21" s="33"/>
      <c r="E21" s="33"/>
      <c r="F21" s="33"/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</f>
        <v>11628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1046.52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1046.52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13721.04</v>
      </c>
    </row>
    <row r="34" spans="1:6" ht="15" thickBot="1" x14ac:dyDescent="0.35">
      <c r="A34" s="73" t="str">
        <f>SpellNumber(F33)</f>
        <v xml:space="preserve">Rupees Thirteen Thousand Seven Hundred TwentyOne Paise Four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0866141732283472" right="0.70866141732283472" top="0.74803149606299213" bottom="0.74803149606299213" header="0.31496062992125984" footer="0.31496062992125984"/>
  <pageSetup paperSize="9" scale="54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G18" sqref="G18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128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129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130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/>
      <c r="B10" s="91"/>
      <c r="C10" s="91"/>
      <c r="D10" s="91"/>
      <c r="E10" s="15" t="s">
        <v>11</v>
      </c>
      <c r="F10" s="17">
        <v>1709</v>
      </c>
      <c r="G10" s="40"/>
      <c r="H10" s="12"/>
      <c r="I10" s="41"/>
      <c r="J10" s="41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131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4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7.399999999999999" x14ac:dyDescent="0.3">
      <c r="A17" s="33">
        <v>1</v>
      </c>
      <c r="B17" s="4"/>
      <c r="C17" s="47" t="s">
        <v>132</v>
      </c>
      <c r="D17" s="33">
        <v>26</v>
      </c>
      <c r="E17" s="33">
        <v>630</v>
      </c>
      <c r="F17" s="33">
        <f>D17*E17</f>
        <v>16380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>
        <v>2</v>
      </c>
      <c r="B18" s="4"/>
      <c r="C18" s="61" t="s">
        <v>133</v>
      </c>
      <c r="D18" s="33">
        <v>20</v>
      </c>
      <c r="E18" s="33">
        <v>630</v>
      </c>
      <c r="F18" s="33">
        <f>D18*E18</f>
        <v>12600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x14ac:dyDescent="0.3">
      <c r="A21" s="33"/>
      <c r="B21" s="4"/>
      <c r="C21" s="53"/>
      <c r="D21" s="33"/>
      <c r="E21" s="33"/>
      <c r="F21" s="33"/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</f>
        <v>28980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2608.1999999999998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2608.1999999999998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34196.400000000001</v>
      </c>
    </row>
    <row r="34" spans="1:6" ht="15" thickBot="1" x14ac:dyDescent="0.35">
      <c r="A34" s="73" t="str">
        <f>SpellNumber(F33)</f>
        <v xml:space="preserve">Rupees ThirtyFour Thousand One Hundred NinetySix Paise Fourty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D20" sqref="D20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134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135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136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137</v>
      </c>
      <c r="B10" s="91"/>
      <c r="C10" s="91"/>
      <c r="D10" s="91"/>
      <c r="E10" s="15" t="s">
        <v>11</v>
      </c>
      <c r="F10" s="17">
        <v>1706</v>
      </c>
      <c r="G10" s="40"/>
      <c r="H10" s="12"/>
      <c r="I10" s="41"/>
      <c r="J10" s="41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138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4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139</v>
      </c>
      <c r="D17" s="33">
        <v>10</v>
      </c>
      <c r="E17" s="33">
        <v>980</v>
      </c>
      <c r="F17" s="33">
        <f>D17*E17</f>
        <v>9800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5.6" x14ac:dyDescent="0.3">
      <c r="A18" s="33">
        <v>2</v>
      </c>
      <c r="B18" s="4"/>
      <c r="C18" s="43" t="s">
        <v>140</v>
      </c>
      <c r="D18" s="33">
        <v>10</v>
      </c>
      <c r="E18" s="33">
        <v>980</v>
      </c>
      <c r="F18" s="33">
        <f>D18*E18</f>
        <v>9800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>
        <v>3</v>
      </c>
      <c r="B19" s="4"/>
      <c r="C19" s="47" t="s">
        <v>141</v>
      </c>
      <c r="D19" s="33">
        <v>8</v>
      </c>
      <c r="E19" s="33">
        <v>630</v>
      </c>
      <c r="F19" s="33">
        <f>D19*E19</f>
        <v>5040</v>
      </c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x14ac:dyDescent="0.3">
      <c r="A21" s="33"/>
      <c r="B21" s="4"/>
      <c r="C21" s="53"/>
      <c r="D21" s="33"/>
      <c r="E21" s="33"/>
      <c r="F21" s="33"/>
    </row>
    <row r="22" spans="1:27" x14ac:dyDescent="0.3">
      <c r="A22" s="4"/>
      <c r="B22" s="4"/>
      <c r="C22" s="4"/>
      <c r="D22" s="4"/>
      <c r="E22" s="4"/>
      <c r="F22" s="4"/>
    </row>
    <row r="23" spans="1:27" x14ac:dyDescent="0.3">
      <c r="A23" s="4"/>
      <c r="B23" s="4"/>
      <c r="C23" s="4"/>
      <c r="D23" s="4"/>
      <c r="E23" s="4"/>
      <c r="F23" s="4"/>
    </row>
    <row r="24" spans="1:27" x14ac:dyDescent="0.3">
      <c r="A24" s="4"/>
      <c r="B24" s="4"/>
      <c r="C24" s="4"/>
      <c r="D24" s="4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</f>
        <v>24640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2217.6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2217.6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29075.199999999997</v>
      </c>
    </row>
    <row r="34" spans="1:6" ht="15" thickBot="1" x14ac:dyDescent="0.35">
      <c r="A34" s="73" t="str">
        <f>SpellNumber(F33)</f>
        <v xml:space="preserve">Rupees TwentyNine Thousand SeventyFive Paise Twenty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tabSelected="1" topLeftCell="A7" workbookViewId="0">
      <selection activeCell="G22" sqref="G22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142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145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143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144</v>
      </c>
      <c r="B10" s="91"/>
      <c r="C10" s="91"/>
      <c r="D10" s="91"/>
      <c r="E10" s="15" t="s">
        <v>11</v>
      </c>
      <c r="F10" s="17">
        <v>1721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146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9.8" x14ac:dyDescent="0.4">
      <c r="A17" s="33">
        <v>1</v>
      </c>
      <c r="B17" s="4"/>
      <c r="C17" s="63" t="s">
        <v>147</v>
      </c>
      <c r="D17" s="33">
        <v>17</v>
      </c>
      <c r="E17" s="33">
        <v>550</v>
      </c>
      <c r="F17" s="33">
        <f>D17*E17</f>
        <v>9350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>
        <v>2</v>
      </c>
      <c r="B18" s="4"/>
      <c r="C18" s="47" t="s">
        <v>148</v>
      </c>
      <c r="D18" s="33">
        <v>9</v>
      </c>
      <c r="E18" s="33">
        <v>550</v>
      </c>
      <c r="F18" s="33">
        <f>D18*E18</f>
        <v>4950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>
        <v>3</v>
      </c>
      <c r="B19" s="4"/>
      <c r="C19" s="47" t="s">
        <v>149</v>
      </c>
      <c r="D19" s="33">
        <v>13</v>
      </c>
      <c r="E19" s="33">
        <v>800</v>
      </c>
      <c r="F19" s="33">
        <f>D19*E19</f>
        <v>10400</v>
      </c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>
        <v>4</v>
      </c>
      <c r="B20" s="4"/>
      <c r="C20" s="61" t="s">
        <v>150</v>
      </c>
      <c r="D20" s="33"/>
      <c r="E20" s="33">
        <v>550</v>
      </c>
      <c r="F20" s="33">
        <f t="shared" ref="F20:F23" si="0">D20*E20</f>
        <v>0</v>
      </c>
    </row>
    <row r="21" spans="1:27" ht="21" x14ac:dyDescent="0.4">
      <c r="A21" s="33">
        <v>5</v>
      </c>
      <c r="B21" s="4"/>
      <c r="C21" s="60" t="s">
        <v>151</v>
      </c>
      <c r="D21" s="33">
        <v>9</v>
      </c>
      <c r="E21" s="33">
        <v>550</v>
      </c>
      <c r="F21" s="33">
        <f t="shared" si="0"/>
        <v>4950</v>
      </c>
    </row>
    <row r="22" spans="1:27" ht="17.399999999999999" x14ac:dyDescent="0.3">
      <c r="A22" s="33">
        <v>6</v>
      </c>
      <c r="B22" s="4"/>
      <c r="C22" s="61" t="s">
        <v>152</v>
      </c>
      <c r="D22" s="65">
        <v>24</v>
      </c>
      <c r="E22" s="64">
        <v>550</v>
      </c>
      <c r="F22" s="33">
        <f t="shared" si="0"/>
        <v>13200</v>
      </c>
    </row>
    <row r="23" spans="1:27" ht="17.399999999999999" x14ac:dyDescent="0.3">
      <c r="A23" s="33">
        <v>7</v>
      </c>
      <c r="B23" s="4"/>
      <c r="C23" s="47" t="s">
        <v>153</v>
      </c>
      <c r="D23" s="65"/>
      <c r="E23" s="64">
        <v>550</v>
      </c>
      <c r="F23" s="33">
        <f t="shared" si="0"/>
        <v>0</v>
      </c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42850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3856.5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3856.5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50563</v>
      </c>
    </row>
    <row r="34" spans="1:6" ht="15" thickBot="1" x14ac:dyDescent="0.35">
      <c r="A34" s="73" t="str">
        <f>SpellNumber(F33)</f>
        <v xml:space="preserve">Rupees Fifty Thousand Five Hundred SixtyThree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F25" sqref="F25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154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155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156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157</v>
      </c>
      <c r="B10" s="91"/>
      <c r="C10" s="91"/>
      <c r="D10" s="91"/>
      <c r="E10" s="15" t="s">
        <v>11</v>
      </c>
      <c r="F10" s="17">
        <v>1697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158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159</v>
      </c>
      <c r="D17" s="33">
        <v>0</v>
      </c>
      <c r="E17" s="33">
        <v>630</v>
      </c>
      <c r="F17" s="33">
        <f>D17*E17</f>
        <v>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6.8" x14ac:dyDescent="0.3">
      <c r="A18" s="33">
        <v>2</v>
      </c>
      <c r="B18" s="4"/>
      <c r="C18" s="66" t="s">
        <v>160</v>
      </c>
      <c r="D18" s="33">
        <v>15</v>
      </c>
      <c r="E18" s="33">
        <v>630</v>
      </c>
      <c r="F18" s="33">
        <f>D18*E18</f>
        <v>9450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6.8" x14ac:dyDescent="0.3">
      <c r="A19" s="33">
        <v>3</v>
      </c>
      <c r="B19" s="4"/>
      <c r="C19" s="66" t="s">
        <v>161</v>
      </c>
      <c r="D19" s="33">
        <v>16</v>
      </c>
      <c r="E19" s="33">
        <v>630</v>
      </c>
      <c r="F19" s="33">
        <f>D19*E19</f>
        <v>10080</v>
      </c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21" x14ac:dyDescent="0.4">
      <c r="A21" s="33"/>
      <c r="B21" s="4"/>
      <c r="C21" s="60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19530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1757.7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1757.7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23045.4</v>
      </c>
    </row>
    <row r="34" spans="1:6" ht="15" thickBot="1" x14ac:dyDescent="0.35">
      <c r="A34" s="73" t="str">
        <f>SpellNumber(F33)</f>
        <v xml:space="preserve">Rupees TwentyThree Thousand FourtyFive Paise Fourty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K7" sqref="K7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162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163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164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/>
      <c r="B10" s="91"/>
      <c r="C10" s="91"/>
      <c r="D10" s="91"/>
      <c r="E10" s="15" t="s">
        <v>11</v>
      </c>
      <c r="F10" s="17">
        <v>1702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165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166</v>
      </c>
      <c r="D17" s="33">
        <v>13</v>
      </c>
      <c r="E17" s="33">
        <v>980</v>
      </c>
      <c r="F17" s="33">
        <f>D17*E17</f>
        <v>12740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6.8" x14ac:dyDescent="0.3">
      <c r="A18" s="33">
        <v>2</v>
      </c>
      <c r="B18" s="4"/>
      <c r="C18" s="66" t="s">
        <v>167</v>
      </c>
      <c r="D18" s="33">
        <v>11</v>
      </c>
      <c r="E18" s="33">
        <v>630</v>
      </c>
      <c r="F18" s="33">
        <f>D18*E18</f>
        <v>6930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6.8" x14ac:dyDescent="0.3">
      <c r="A19" s="33">
        <v>3</v>
      </c>
      <c r="B19" s="4"/>
      <c r="C19" s="66" t="s">
        <v>168</v>
      </c>
      <c r="D19" s="33">
        <v>15</v>
      </c>
      <c r="E19" s="33">
        <v>630</v>
      </c>
      <c r="F19" s="33">
        <f>D19*E19</f>
        <v>9450</v>
      </c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21" x14ac:dyDescent="0.4">
      <c r="A21" s="33"/>
      <c r="B21" s="4"/>
      <c r="C21" s="60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29120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2620.8000000000002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2620.8000000000002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34361.599999999999</v>
      </c>
    </row>
    <row r="34" spans="1:6" ht="15" thickBot="1" x14ac:dyDescent="0.35">
      <c r="A34" s="73" t="str">
        <f>SpellNumber(F33)</f>
        <v xml:space="preserve">Rupees ThirtyFour Thousand Three Hundred SixtyOne Paise Sixty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34"/>
  <sheetViews>
    <sheetView workbookViewId="0">
      <selection sqref="A1:XFD1048576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46204</v>
      </c>
      <c r="G6" s="40"/>
      <c r="H6" s="13"/>
      <c r="I6" s="40"/>
      <c r="J6" s="41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169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172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170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171</v>
      </c>
      <c r="B10" s="91"/>
      <c r="C10" s="91"/>
      <c r="D10" s="91"/>
      <c r="E10" s="15" t="s">
        <v>11</v>
      </c>
      <c r="F10" s="17">
        <v>1648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173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27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178</v>
      </c>
      <c r="D17" s="33">
        <v>14</v>
      </c>
      <c r="E17" s="33">
        <v>630</v>
      </c>
      <c r="F17" s="33">
        <f>D17*E17</f>
        <v>8820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5.6" x14ac:dyDescent="0.3">
      <c r="A18" s="33">
        <v>2</v>
      </c>
      <c r="B18" s="4"/>
      <c r="C18" s="68" t="s">
        <v>176</v>
      </c>
      <c r="D18" s="33">
        <v>17</v>
      </c>
      <c r="E18" s="33">
        <v>882</v>
      </c>
      <c r="F18" s="33">
        <f>D18*E18</f>
        <v>14994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x14ac:dyDescent="0.3">
      <c r="A19" s="33">
        <v>3</v>
      </c>
      <c r="B19" s="4"/>
      <c r="C19" s="68" t="s">
        <v>177</v>
      </c>
      <c r="D19" s="33">
        <v>18</v>
      </c>
      <c r="E19" s="33">
        <v>787.5</v>
      </c>
      <c r="F19" s="33">
        <f>D19*E19</f>
        <v>14175</v>
      </c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>
        <v>4</v>
      </c>
      <c r="B20" s="4"/>
      <c r="C20" s="61" t="s">
        <v>174</v>
      </c>
      <c r="D20" s="33">
        <v>5</v>
      </c>
      <c r="E20" s="33">
        <v>500</v>
      </c>
      <c r="F20" s="33">
        <f t="shared" ref="F20:F21" si="0">D20*E20</f>
        <v>2500</v>
      </c>
    </row>
    <row r="21" spans="1:27" ht="18" x14ac:dyDescent="0.35">
      <c r="A21" s="33">
        <v>5</v>
      </c>
      <c r="B21" s="4"/>
      <c r="C21" s="42" t="s">
        <v>175</v>
      </c>
      <c r="D21" s="33">
        <v>1</v>
      </c>
      <c r="E21" s="33">
        <v>500</v>
      </c>
      <c r="F21" s="33">
        <f t="shared" si="0"/>
        <v>500</v>
      </c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40989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3689.01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3689.01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48367.020000000004</v>
      </c>
    </row>
    <row r="34" spans="1:6" ht="15" thickBot="1" x14ac:dyDescent="0.35">
      <c r="A34" s="73" t="str">
        <f>SpellNumber(F33)</f>
        <v xml:space="preserve">Rupees FourtyEight Thousand Three Hundred SixtySeven Paise Two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A7" sqref="A7:D7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179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180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181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/>
      <c r="B10" s="91"/>
      <c r="C10" s="91"/>
      <c r="D10" s="91"/>
      <c r="E10" s="15" t="s">
        <v>11</v>
      </c>
      <c r="F10" s="17">
        <v>1705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182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183</v>
      </c>
      <c r="D17" s="33">
        <v>20</v>
      </c>
      <c r="E17" s="33">
        <v>684</v>
      </c>
      <c r="F17" s="33">
        <f>D17*E17</f>
        <v>13680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8" x14ac:dyDescent="0.35">
      <c r="A18" s="33">
        <v>2</v>
      </c>
      <c r="B18" s="4"/>
      <c r="C18" s="42" t="s">
        <v>187</v>
      </c>
      <c r="D18" s="33">
        <v>18</v>
      </c>
      <c r="E18" s="33">
        <v>684</v>
      </c>
      <c r="F18" s="33">
        <f>D18*E18</f>
        <v>12312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>
        <v>3</v>
      </c>
      <c r="B19" s="4"/>
      <c r="C19" s="47" t="s">
        <v>184</v>
      </c>
      <c r="D19" s="33">
        <v>18</v>
      </c>
      <c r="E19" s="33">
        <v>684</v>
      </c>
      <c r="F19" s="33">
        <f>D19*E19</f>
        <v>12312</v>
      </c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x14ac:dyDescent="0.3">
      <c r="A20" s="33">
        <v>4</v>
      </c>
      <c r="B20" s="4"/>
      <c r="C20" s="48" t="s">
        <v>185</v>
      </c>
      <c r="D20" s="33">
        <v>19</v>
      </c>
      <c r="E20" s="33">
        <v>1064</v>
      </c>
      <c r="F20" s="33">
        <f t="shared" ref="F20:F21" si="0">D20*E20</f>
        <v>20216</v>
      </c>
    </row>
    <row r="21" spans="1:27" ht="18" x14ac:dyDescent="0.35">
      <c r="A21" s="33">
        <v>5</v>
      </c>
      <c r="B21" s="4"/>
      <c r="C21" s="42" t="s">
        <v>186</v>
      </c>
      <c r="D21" s="33">
        <v>18</v>
      </c>
      <c r="E21" s="33">
        <v>684</v>
      </c>
      <c r="F21" s="33">
        <f t="shared" si="0"/>
        <v>12312</v>
      </c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70832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6374.88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6374.88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83581.760000000009</v>
      </c>
    </row>
    <row r="34" spans="1:6" ht="15" thickBot="1" x14ac:dyDescent="0.35">
      <c r="A34" s="73" t="str">
        <f>SpellNumber(F33)</f>
        <v xml:space="preserve">Rupees EightyThree Thousand Five Hundred EightyOne Paise SeventySix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D19" sqref="D19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188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189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190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191</v>
      </c>
      <c r="B10" s="91"/>
      <c r="C10" s="91"/>
      <c r="D10" s="91"/>
      <c r="E10" s="15" t="s">
        <v>11</v>
      </c>
      <c r="F10" s="17">
        <v>1711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192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193</v>
      </c>
      <c r="D17" s="33">
        <v>13</v>
      </c>
      <c r="E17" s="33">
        <v>630</v>
      </c>
      <c r="F17" s="33">
        <f>D17*E17</f>
        <v>8190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>
        <v>2</v>
      </c>
      <c r="B18" s="4"/>
      <c r="C18" s="47" t="s">
        <v>194</v>
      </c>
      <c r="D18" s="33">
        <v>15</v>
      </c>
      <c r="E18" s="33">
        <v>630</v>
      </c>
      <c r="F18" s="33">
        <f>D18*E18</f>
        <v>9450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>
        <v>3</v>
      </c>
      <c r="B19" s="4"/>
      <c r="C19" s="47" t="s">
        <v>195</v>
      </c>
      <c r="D19" s="33">
        <v>0</v>
      </c>
      <c r="E19" s="33">
        <v>630</v>
      </c>
      <c r="F19" s="33">
        <f>D19*E19</f>
        <v>0</v>
      </c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x14ac:dyDescent="0.3">
      <c r="A20" s="33"/>
      <c r="B20" s="4"/>
      <c r="C20" s="48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17640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1587.6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1587.6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20815.199999999997</v>
      </c>
    </row>
    <row r="34" spans="1:6" ht="15" thickBot="1" x14ac:dyDescent="0.35">
      <c r="A34" s="73" t="str">
        <f>SpellNumber(F33)</f>
        <v xml:space="preserve">Rupees Twenty Thousand Eight Hundred Fifteen Paise Twenty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topLeftCell="A10" workbookViewId="0">
      <selection activeCell="D22" sqref="D22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196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197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198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199</v>
      </c>
      <c r="B10" s="91"/>
      <c r="C10" s="91"/>
      <c r="D10" s="91"/>
      <c r="E10" s="15" t="s">
        <v>11</v>
      </c>
      <c r="F10" s="17">
        <v>1710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200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201</v>
      </c>
      <c r="D17" s="33">
        <v>17</v>
      </c>
      <c r="E17" s="33">
        <v>630</v>
      </c>
      <c r="F17" s="33">
        <f>D17*E17</f>
        <v>10710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>
        <v>2</v>
      </c>
      <c r="B18" s="4"/>
      <c r="C18" s="47" t="s">
        <v>202</v>
      </c>
      <c r="D18" s="33">
        <v>16</v>
      </c>
      <c r="E18" s="33">
        <v>630</v>
      </c>
      <c r="F18" s="33">
        <f>D18*E18</f>
        <v>10080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>
        <v>3</v>
      </c>
      <c r="B19" s="4"/>
      <c r="C19" s="47" t="s">
        <v>203</v>
      </c>
      <c r="D19" s="33">
        <v>11</v>
      </c>
      <c r="E19" s="33">
        <v>630</v>
      </c>
      <c r="F19" s="33">
        <f t="shared" ref="F19:F21" si="0">D19*E19</f>
        <v>6930</v>
      </c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>
        <v>4</v>
      </c>
      <c r="B20" s="4"/>
      <c r="C20" s="61" t="s">
        <v>204</v>
      </c>
      <c r="D20" s="33">
        <v>0</v>
      </c>
      <c r="E20" s="33">
        <v>630</v>
      </c>
      <c r="F20" s="33">
        <f t="shared" si="0"/>
        <v>0</v>
      </c>
    </row>
    <row r="21" spans="1:27" ht="18" x14ac:dyDescent="0.35">
      <c r="A21" s="33">
        <v>5</v>
      </c>
      <c r="B21" s="4"/>
      <c r="C21" s="42" t="s">
        <v>205</v>
      </c>
      <c r="D21" s="33">
        <v>19</v>
      </c>
      <c r="E21" s="33">
        <v>630</v>
      </c>
      <c r="F21" s="33">
        <f t="shared" si="0"/>
        <v>11970</v>
      </c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39690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3572.1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3572.1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46834.2</v>
      </c>
    </row>
    <row r="34" spans="1:6" ht="15" thickBot="1" x14ac:dyDescent="0.35">
      <c r="A34" s="73" t="str">
        <f>SpellNumber(F33)</f>
        <v xml:space="preserve">Rupees FourtySix Thousand Eight Hundred ThirtyFour Paise Twenty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F17" sqref="F17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206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208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207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/>
      <c r="B10" s="91"/>
      <c r="C10" s="91"/>
      <c r="D10" s="91"/>
      <c r="E10" s="15" t="s">
        <v>11</v>
      </c>
      <c r="F10" s="17">
        <v>1699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209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210</v>
      </c>
      <c r="D17" s="33">
        <v>19</v>
      </c>
      <c r="E17" s="33">
        <v>630</v>
      </c>
      <c r="F17" s="33">
        <f>D17*E17</f>
        <v>11970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/>
      <c r="B18" s="4"/>
      <c r="C18" s="47"/>
      <c r="D18" s="33"/>
      <c r="E18" s="33"/>
      <c r="F18" s="33"/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11970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1077.3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1077.3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14124.599999999999</v>
      </c>
    </row>
    <row r="34" spans="1:6" ht="15" thickBot="1" x14ac:dyDescent="0.35">
      <c r="A34" s="73" t="str">
        <f>SpellNumber(F33)</f>
        <v xml:space="preserve">Rupees Fourteen Thousand One Hundred TwentyFour Paise Sixty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H13" sqref="H13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211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212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213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214</v>
      </c>
      <c r="B10" s="91"/>
      <c r="C10" s="91"/>
      <c r="D10" s="91"/>
      <c r="E10" s="15" t="s">
        <v>11</v>
      </c>
      <c r="F10" s="17">
        <v>1700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215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216</v>
      </c>
      <c r="D17" s="33">
        <v>21</v>
      </c>
      <c r="E17" s="33">
        <v>630</v>
      </c>
      <c r="F17" s="33">
        <f>D17*E17</f>
        <v>13230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/>
      <c r="B18" s="4"/>
      <c r="C18" s="47"/>
      <c r="D18" s="33"/>
      <c r="E18" s="33"/>
      <c r="F18" s="33"/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13230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1190.7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1190.7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15611.400000000001</v>
      </c>
    </row>
    <row r="34" spans="1:6" ht="15" thickBot="1" x14ac:dyDescent="0.35">
      <c r="A34" s="73" t="str">
        <f>SpellNumber(F33)</f>
        <v xml:space="preserve">Rupees Fifteen Thousand Six Hundred Eleven Paise Fourty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J10" sqref="J10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217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218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219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/>
      <c r="B10" s="91"/>
      <c r="C10" s="91"/>
      <c r="D10" s="91"/>
      <c r="E10" s="15" t="s">
        <v>11</v>
      </c>
      <c r="F10" s="17">
        <v>1713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228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21" x14ac:dyDescent="0.4">
      <c r="A17" s="33">
        <v>1</v>
      </c>
      <c r="B17" s="4"/>
      <c r="C17" s="60" t="s">
        <v>220</v>
      </c>
      <c r="D17" s="33">
        <v>10</v>
      </c>
      <c r="E17" s="33">
        <v>630</v>
      </c>
      <c r="F17" s="33">
        <f>D17*E17</f>
        <v>6300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/>
      <c r="B18" s="4"/>
      <c r="C18" s="47"/>
      <c r="D18" s="33"/>
      <c r="E18" s="33"/>
      <c r="F18" s="33"/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6300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567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567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7434</v>
      </c>
    </row>
    <row r="34" spans="1:6" ht="15" thickBot="1" x14ac:dyDescent="0.35">
      <c r="A34" s="73" t="str">
        <f>SpellNumber(F33)</f>
        <v xml:space="preserve">Rupees Seven Thousand Four Hundred ThirtyFour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G19" sqref="G19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221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222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223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224</v>
      </c>
      <c r="B10" s="91"/>
      <c r="C10" s="91"/>
      <c r="D10" s="91"/>
      <c r="E10" s="15" t="s">
        <v>11</v>
      </c>
      <c r="F10" s="17">
        <v>1715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225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x14ac:dyDescent="0.3">
      <c r="A17" s="33">
        <v>1</v>
      </c>
      <c r="B17" s="4"/>
      <c r="C17" s="67" t="s">
        <v>226</v>
      </c>
      <c r="D17" s="33">
        <v>0</v>
      </c>
      <c r="E17" s="33">
        <v>640</v>
      </c>
      <c r="F17" s="33">
        <f>D17*E17</f>
        <v>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>
        <v>2</v>
      </c>
      <c r="B18" s="4"/>
      <c r="C18" s="47" t="s">
        <v>227</v>
      </c>
      <c r="D18" s="33">
        <v>10</v>
      </c>
      <c r="E18" s="33">
        <v>500</v>
      </c>
      <c r="F18" s="33">
        <f>D18*E18</f>
        <v>5000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5000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450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450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5900</v>
      </c>
    </row>
    <row r="34" spans="1:6" ht="15" thickBot="1" x14ac:dyDescent="0.35">
      <c r="A34" s="73" t="str">
        <f>SpellNumber(F33)</f>
        <v xml:space="preserve">Rupees Five Thousand Nine Hundred 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G17" sqref="G17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229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230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231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50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232</v>
      </c>
      <c r="B10" s="91"/>
      <c r="C10" s="91"/>
      <c r="D10" s="91"/>
      <c r="E10" s="15" t="s">
        <v>11</v>
      </c>
      <c r="F10" s="17">
        <v>1714</v>
      </c>
      <c r="G10" s="40"/>
      <c r="H10" s="12"/>
      <c r="I10" s="41"/>
      <c r="J10" s="40"/>
      <c r="K10" s="40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233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21" x14ac:dyDescent="0.4">
      <c r="A17" s="33">
        <v>1</v>
      </c>
      <c r="B17" s="4"/>
      <c r="C17" s="60" t="s">
        <v>234</v>
      </c>
      <c r="D17" s="33">
        <v>18</v>
      </c>
      <c r="E17" s="33">
        <v>630</v>
      </c>
      <c r="F17" s="33">
        <f>D17*E17</f>
        <v>11340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/>
      <c r="B18" s="4"/>
      <c r="C18" s="47"/>
      <c r="D18" s="33"/>
      <c r="E18" s="33"/>
      <c r="F18" s="33"/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11340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1020.6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1020.6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13381.2</v>
      </c>
    </row>
    <row r="34" spans="1:6" ht="15" thickBot="1" x14ac:dyDescent="0.35">
      <c r="A34" s="73" t="str">
        <f>SpellNumber(F33)</f>
        <v xml:space="preserve">Rupees Thirteen Thousand Three Hundred EightyOne Paise Twenty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topLeftCell="A4" workbookViewId="0">
      <selection activeCell="I15" sqref="I15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235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236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237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50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238</v>
      </c>
      <c r="B10" s="91"/>
      <c r="C10" s="91"/>
      <c r="D10" s="91"/>
      <c r="E10" s="15" t="s">
        <v>11</v>
      </c>
      <c r="F10" s="17">
        <v>1712</v>
      </c>
      <c r="G10" s="40"/>
      <c r="H10" s="12"/>
      <c r="I10" s="41"/>
      <c r="J10" s="40"/>
      <c r="K10" s="40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239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240</v>
      </c>
      <c r="D17" s="33">
        <v>17</v>
      </c>
      <c r="E17" s="33">
        <v>630</v>
      </c>
      <c r="F17" s="33">
        <f>D17*E17</f>
        <v>10710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/>
      <c r="B18" s="4"/>
      <c r="C18" s="47"/>
      <c r="D18" s="33"/>
      <c r="E18" s="33"/>
      <c r="F18" s="33"/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10710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963.9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963.9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12637.8</v>
      </c>
    </row>
    <row r="34" spans="1:6" ht="15" thickBot="1" x14ac:dyDescent="0.35">
      <c r="A34" s="73" t="str">
        <f>SpellNumber(F33)</f>
        <v xml:space="preserve">Rupees Twelve Thousand Six Hundred ThirtySeven Paise Eighty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I19" sqref="I19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241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244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242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243</v>
      </c>
      <c r="B10" s="91"/>
      <c r="C10" s="91"/>
      <c r="D10" s="91"/>
      <c r="E10" s="15" t="s">
        <v>11</v>
      </c>
      <c r="F10" s="17">
        <v>1708</v>
      </c>
      <c r="G10" s="40"/>
      <c r="H10" s="12"/>
      <c r="I10" s="41"/>
      <c r="J10" s="40"/>
      <c r="K10" s="40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245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246</v>
      </c>
      <c r="D17" s="33">
        <v>11</v>
      </c>
      <c r="E17" s="33">
        <v>630</v>
      </c>
      <c r="F17" s="33">
        <f>D17*E17</f>
        <v>6930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/>
      <c r="B18" s="4"/>
      <c r="C18" s="47"/>
      <c r="D18" s="33"/>
      <c r="E18" s="33"/>
      <c r="F18" s="33"/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6930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623.70000000000005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623.70000000000005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8177.4</v>
      </c>
    </row>
    <row r="34" spans="1:6" ht="15" thickBot="1" x14ac:dyDescent="0.35">
      <c r="A34" s="73" t="str">
        <f>SpellNumber(F33)</f>
        <v xml:space="preserve">Rupees Eight Thousand One Hundred SeventySeven Paise Fourty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H15" sqref="H15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247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249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248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/>
      <c r="B10" s="91"/>
      <c r="C10" s="91"/>
      <c r="D10" s="91"/>
      <c r="E10" s="15" t="s">
        <v>11</v>
      </c>
      <c r="F10" s="17">
        <v>1707</v>
      </c>
      <c r="G10" s="40"/>
      <c r="H10" s="12"/>
      <c r="I10" s="41"/>
      <c r="J10" s="40"/>
      <c r="K10" s="40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250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251</v>
      </c>
      <c r="D17" s="33">
        <v>10</v>
      </c>
      <c r="E17" s="33">
        <v>684</v>
      </c>
      <c r="F17" s="33">
        <f>D17*E17</f>
        <v>6840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>
        <v>2</v>
      </c>
      <c r="B18" s="4"/>
      <c r="C18" s="47" t="s">
        <v>252</v>
      </c>
      <c r="D18" s="33">
        <v>13</v>
      </c>
      <c r="E18" s="33">
        <v>684</v>
      </c>
      <c r="F18" s="33">
        <f t="shared" ref="F18:F19" si="0">D18*E18</f>
        <v>8892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>
        <v>3</v>
      </c>
      <c r="B19" s="4"/>
      <c r="C19" s="47" t="s">
        <v>253</v>
      </c>
      <c r="D19" s="33">
        <v>15</v>
      </c>
      <c r="E19" s="33">
        <v>684</v>
      </c>
      <c r="F19" s="33">
        <f t="shared" si="0"/>
        <v>10260</v>
      </c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25992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2339.2800000000002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2339.2800000000002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30670.559999999998</v>
      </c>
    </row>
    <row r="34" spans="1:6" ht="15" thickBot="1" x14ac:dyDescent="0.35">
      <c r="A34" s="73" t="str">
        <f>SpellNumber(F33)</f>
        <v xml:space="preserve">Rupees Thirty Thousand Six Hundred Seventy Paise FiftySix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R15" sqref="R15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254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181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/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/>
      <c r="B10" s="91"/>
      <c r="C10" s="91"/>
      <c r="D10" s="91"/>
      <c r="E10" s="15" t="s">
        <v>11</v>
      </c>
      <c r="F10" s="17">
        <v>1703</v>
      </c>
      <c r="G10" s="40"/>
      <c r="H10" s="12"/>
      <c r="I10" s="41"/>
      <c r="J10" s="40"/>
      <c r="K10" s="40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255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256</v>
      </c>
      <c r="D17" s="33">
        <v>0</v>
      </c>
      <c r="E17" s="33">
        <v>400</v>
      </c>
      <c r="F17" s="33">
        <f>D17*E17</f>
        <v>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5.6" x14ac:dyDescent="0.3">
      <c r="A18" s="33">
        <v>2</v>
      </c>
      <c r="B18" s="4"/>
      <c r="C18" s="43" t="s">
        <v>257</v>
      </c>
      <c r="D18" s="33">
        <v>14</v>
      </c>
      <c r="E18" s="33">
        <v>980</v>
      </c>
      <c r="F18" s="33">
        <f t="shared" ref="F18:F21" si="0">D18*E18</f>
        <v>13720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>
        <v>3</v>
      </c>
      <c r="B19" s="4"/>
      <c r="C19" s="47" t="s">
        <v>258</v>
      </c>
      <c r="D19" s="33">
        <v>21</v>
      </c>
      <c r="E19" s="33">
        <v>630</v>
      </c>
      <c r="F19" s="33">
        <f t="shared" si="0"/>
        <v>13230</v>
      </c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>
        <v>4</v>
      </c>
      <c r="B20" s="4"/>
      <c r="C20" s="61" t="s">
        <v>259</v>
      </c>
      <c r="D20" s="33">
        <v>0</v>
      </c>
      <c r="E20" s="33">
        <v>150</v>
      </c>
      <c r="F20" s="33">
        <f t="shared" si="0"/>
        <v>0</v>
      </c>
    </row>
    <row r="21" spans="1:27" ht="18" x14ac:dyDescent="0.35">
      <c r="A21" s="33">
        <v>5</v>
      </c>
      <c r="B21" s="4"/>
      <c r="C21" s="42" t="s">
        <v>343</v>
      </c>
      <c r="D21" s="33">
        <v>2</v>
      </c>
      <c r="E21" s="33">
        <v>500</v>
      </c>
      <c r="F21" s="33">
        <f t="shared" si="0"/>
        <v>1000</v>
      </c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27950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2515.5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2515.5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32981</v>
      </c>
    </row>
    <row r="34" spans="1:6" ht="15" thickBot="1" x14ac:dyDescent="0.35">
      <c r="A34" s="73" t="str">
        <f>SpellNumber(F33)</f>
        <v xml:space="preserve">Rupees ThirtyTwo Thousand Nine Hundred EightyOne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J19" sqref="J19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260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261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262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/>
      <c r="B10" s="91"/>
      <c r="C10" s="91"/>
      <c r="D10" s="91"/>
      <c r="E10" s="15" t="s">
        <v>11</v>
      </c>
      <c r="F10" s="17">
        <v>1701</v>
      </c>
      <c r="G10" s="40"/>
      <c r="H10" s="12"/>
      <c r="I10" s="41"/>
      <c r="J10" s="40"/>
      <c r="K10" s="40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263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x14ac:dyDescent="0.3">
      <c r="A17" s="33">
        <v>1</v>
      </c>
      <c r="B17" s="4"/>
      <c r="C17" s="55" t="s">
        <v>264</v>
      </c>
      <c r="D17" s="33">
        <v>15</v>
      </c>
      <c r="E17" s="33">
        <v>980</v>
      </c>
      <c r="F17" s="33">
        <f>D17*E17</f>
        <v>14700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>
        <v>2</v>
      </c>
      <c r="B18" s="4"/>
      <c r="C18" s="47" t="s">
        <v>265</v>
      </c>
      <c r="D18" s="33">
        <v>15</v>
      </c>
      <c r="E18" s="33">
        <v>630</v>
      </c>
      <c r="F18" s="33">
        <f t="shared" ref="F18" si="0">D18*E18</f>
        <v>9450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24150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2173.5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2173.5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28497</v>
      </c>
    </row>
    <row r="34" spans="1:6" ht="15" thickBot="1" x14ac:dyDescent="0.35">
      <c r="A34" s="73" t="str">
        <f>SpellNumber(F33)</f>
        <v xml:space="preserve">Rupees TwentyEight Thousand Four Hundred NinetySeven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59999389629810485"/>
  </sheetPr>
  <dimension ref="A1:AA34"/>
  <sheetViews>
    <sheetView workbookViewId="0">
      <selection activeCell="H11" sqref="H11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46204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260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261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262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/>
      <c r="B10" s="91"/>
      <c r="C10" s="91"/>
      <c r="D10" s="91"/>
      <c r="E10" s="15" t="s">
        <v>11</v>
      </c>
      <c r="F10" s="17">
        <v>1662</v>
      </c>
      <c r="G10" s="40"/>
      <c r="H10" s="12"/>
      <c r="I10" s="41"/>
      <c r="J10" s="40"/>
      <c r="K10" s="40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263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27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x14ac:dyDescent="0.3">
      <c r="A17" s="33">
        <v>1</v>
      </c>
      <c r="B17" s="4"/>
      <c r="C17" s="55"/>
      <c r="D17" s="33"/>
      <c r="E17" s="33"/>
      <c r="F17" s="33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>
        <v>2</v>
      </c>
      <c r="B18" s="4"/>
      <c r="C18" s="47"/>
      <c r="D18" s="33"/>
      <c r="E18" s="33"/>
      <c r="F18" s="33"/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0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0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0</v>
      </c>
    </row>
    <row r="34" spans="1:6" ht="15" thickBot="1" x14ac:dyDescent="0.35">
      <c r="A34" s="73">
        <f>SpellNumber(F33)</f>
        <v>0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topLeftCell="A13" workbookViewId="0">
      <selection activeCell="G18" sqref="G18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266</v>
      </c>
      <c r="B7" s="77"/>
      <c r="C7" s="77"/>
      <c r="D7" s="77"/>
      <c r="E7" s="15" t="s">
        <v>3</v>
      </c>
      <c r="F7" s="17" t="s">
        <v>4</v>
      </c>
      <c r="G7" s="40"/>
      <c r="H7" s="18"/>
      <c r="I7" s="40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268</v>
      </c>
      <c r="B8" s="89"/>
      <c r="C8" s="89"/>
      <c r="D8" s="89"/>
      <c r="E8" s="15" t="s">
        <v>6</v>
      </c>
      <c r="F8" s="17">
        <v>380893</v>
      </c>
      <c r="G8" s="40"/>
      <c r="H8" s="12"/>
      <c r="I8" s="40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267</v>
      </c>
      <c r="B9" s="91"/>
      <c r="C9" s="91"/>
      <c r="D9" s="91"/>
      <c r="E9" s="15" t="s">
        <v>8</v>
      </c>
      <c r="F9" s="17" t="s">
        <v>9</v>
      </c>
      <c r="G9" s="40"/>
      <c r="H9" s="18"/>
      <c r="I9" s="5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/>
      <c r="B10" s="91"/>
      <c r="C10" s="91"/>
      <c r="D10" s="91"/>
      <c r="E10" s="15" t="s">
        <v>11</v>
      </c>
      <c r="F10" s="17">
        <v>1698</v>
      </c>
      <c r="G10" s="40"/>
      <c r="H10" s="12"/>
      <c r="I10" s="41"/>
      <c r="J10" s="40"/>
      <c r="K10" s="40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269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270</v>
      </c>
      <c r="D17" s="33">
        <v>3</v>
      </c>
      <c r="E17" s="33">
        <v>480</v>
      </c>
      <c r="F17" s="33">
        <f>E17*D17</f>
        <v>1440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5.6" x14ac:dyDescent="0.3">
      <c r="A18" s="33">
        <v>2</v>
      </c>
      <c r="B18" s="4"/>
      <c r="C18" s="43" t="s">
        <v>271</v>
      </c>
      <c r="D18" s="33">
        <v>19</v>
      </c>
      <c r="E18" s="33">
        <v>630</v>
      </c>
      <c r="F18" s="33">
        <f>E18*D18</f>
        <v>11970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13410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1206.9000000000001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1206.9000000000001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15823.8</v>
      </c>
    </row>
    <row r="34" spans="1:6" ht="15" thickBot="1" x14ac:dyDescent="0.35">
      <c r="A34" s="73" t="str">
        <f>SpellNumber(F33)</f>
        <v xml:space="preserve">Rupees Fifteen Thousand Eight Hundred TwentyThree Paise Eighty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H31" sqref="H31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272</v>
      </c>
      <c r="B7" s="77"/>
      <c r="C7" s="77"/>
      <c r="D7" s="77"/>
      <c r="E7" s="15" t="s">
        <v>3</v>
      </c>
      <c r="F7" s="17" t="s">
        <v>4</v>
      </c>
      <c r="G7" s="40"/>
      <c r="H7" s="18"/>
      <c r="I7" s="41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273</v>
      </c>
      <c r="B8" s="89"/>
      <c r="C8" s="89"/>
      <c r="D8" s="89"/>
      <c r="E8" s="15" t="s">
        <v>6</v>
      </c>
      <c r="F8" s="17">
        <v>380893</v>
      </c>
      <c r="G8" s="40"/>
      <c r="H8" s="12"/>
      <c r="I8" s="41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274</v>
      </c>
      <c r="B9" s="91"/>
      <c r="C9" s="91"/>
      <c r="D9" s="91"/>
      <c r="E9" s="15" t="s">
        <v>8</v>
      </c>
      <c r="F9" s="17" t="s">
        <v>9</v>
      </c>
      <c r="G9" s="40"/>
      <c r="H9" s="18"/>
      <c r="I9" s="4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275</v>
      </c>
      <c r="B10" s="91"/>
      <c r="C10" s="91"/>
      <c r="D10" s="91"/>
      <c r="E10" s="15" t="s">
        <v>11</v>
      </c>
      <c r="F10" s="17">
        <v>1692</v>
      </c>
      <c r="G10" s="40"/>
      <c r="H10" s="12"/>
      <c r="I10" s="41"/>
      <c r="J10" s="40"/>
      <c r="K10" s="40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276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x14ac:dyDescent="0.3">
      <c r="A17" s="33">
        <v>1</v>
      </c>
      <c r="B17" s="4"/>
      <c r="C17" s="67" t="s">
        <v>277</v>
      </c>
      <c r="D17" s="33">
        <v>16</v>
      </c>
      <c r="E17" s="33">
        <v>945</v>
      </c>
      <c r="F17" s="33">
        <f>E17*D17</f>
        <v>15120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5.6" x14ac:dyDescent="0.3">
      <c r="A18" s="33"/>
      <c r="B18" s="4"/>
      <c r="C18" s="43"/>
      <c r="D18" s="33"/>
      <c r="E18" s="33"/>
      <c r="F18" s="33"/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15120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1360.8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1360.8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17841.599999999999</v>
      </c>
    </row>
    <row r="34" spans="1:6" ht="15" thickBot="1" x14ac:dyDescent="0.35">
      <c r="A34" s="73" t="str">
        <f>SpellNumber(F33)</f>
        <v xml:space="preserve">Rupees Seventeen Thousand Eight Hundred FourtyOne Paise Sixty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H15" sqref="H15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278</v>
      </c>
      <c r="B7" s="77"/>
      <c r="C7" s="77"/>
      <c r="D7" s="77"/>
      <c r="E7" s="15" t="s">
        <v>3</v>
      </c>
      <c r="F7" s="17" t="s">
        <v>4</v>
      </c>
      <c r="G7" s="40"/>
      <c r="H7" s="18"/>
      <c r="I7" s="41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279</v>
      </c>
      <c r="B8" s="89"/>
      <c r="C8" s="89"/>
      <c r="D8" s="89"/>
      <c r="E8" s="15" t="s">
        <v>6</v>
      </c>
      <c r="F8" s="17">
        <v>380893</v>
      </c>
      <c r="G8" s="40"/>
      <c r="H8" s="12"/>
      <c r="I8" s="41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280</v>
      </c>
      <c r="B9" s="91"/>
      <c r="C9" s="91"/>
      <c r="D9" s="91"/>
      <c r="E9" s="15" t="s">
        <v>8</v>
      </c>
      <c r="F9" s="17" t="s">
        <v>9</v>
      </c>
      <c r="G9" s="40"/>
      <c r="H9" s="18"/>
      <c r="I9" s="4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281</v>
      </c>
      <c r="B10" s="91"/>
      <c r="C10" s="91"/>
      <c r="D10" s="91"/>
      <c r="E10" s="15" t="s">
        <v>11</v>
      </c>
      <c r="F10" s="17">
        <v>1690</v>
      </c>
      <c r="G10" s="40"/>
      <c r="H10" s="12"/>
      <c r="I10" s="41"/>
      <c r="J10" s="40"/>
      <c r="K10" s="40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282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283</v>
      </c>
      <c r="D17" s="33">
        <v>15</v>
      </c>
      <c r="E17" s="33">
        <v>630</v>
      </c>
      <c r="F17" s="33">
        <f>E17*D17</f>
        <v>9450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5.6" x14ac:dyDescent="0.3">
      <c r="A18" s="33"/>
      <c r="B18" s="4"/>
      <c r="C18" s="43"/>
      <c r="D18" s="33"/>
      <c r="E18" s="33"/>
      <c r="F18" s="33"/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9450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850.5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850.5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11151</v>
      </c>
    </row>
    <row r="34" spans="1:6" ht="15" thickBot="1" x14ac:dyDescent="0.35">
      <c r="A34" s="73" t="str">
        <f>SpellNumber(F33)</f>
        <v xml:space="preserve">Rupees Eleven Thousand One Hundred FiftyOne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G19" sqref="G19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284</v>
      </c>
      <c r="B7" s="77"/>
      <c r="C7" s="77"/>
      <c r="D7" s="77"/>
      <c r="E7" s="15" t="s">
        <v>3</v>
      </c>
      <c r="F7" s="17" t="s">
        <v>4</v>
      </c>
      <c r="G7" s="40"/>
      <c r="H7" s="18"/>
      <c r="I7" s="41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285</v>
      </c>
      <c r="B8" s="89"/>
      <c r="C8" s="89"/>
      <c r="D8" s="89"/>
      <c r="E8" s="15" t="s">
        <v>6</v>
      </c>
      <c r="F8" s="17">
        <v>380893</v>
      </c>
      <c r="G8" s="40"/>
      <c r="H8" s="12"/>
      <c r="I8" s="41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286</v>
      </c>
      <c r="B9" s="91"/>
      <c r="C9" s="91"/>
      <c r="D9" s="91"/>
      <c r="E9" s="15" t="s">
        <v>8</v>
      </c>
      <c r="F9" s="17" t="s">
        <v>9</v>
      </c>
      <c r="G9" s="40"/>
      <c r="H9" s="18"/>
      <c r="I9" s="4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/>
      <c r="B10" s="91"/>
      <c r="C10" s="91"/>
      <c r="D10" s="91"/>
      <c r="E10" s="15" t="s">
        <v>11</v>
      </c>
      <c r="F10" s="17">
        <v>1689</v>
      </c>
      <c r="G10" s="40"/>
      <c r="H10" s="12"/>
      <c r="I10" s="41"/>
      <c r="J10" s="40"/>
      <c r="K10" s="40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287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288</v>
      </c>
      <c r="D17" s="33">
        <v>22</v>
      </c>
      <c r="E17" s="33">
        <v>630</v>
      </c>
      <c r="F17" s="33">
        <f>E17*D17</f>
        <v>13860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5.6" x14ac:dyDescent="0.3">
      <c r="A18" s="33"/>
      <c r="B18" s="4"/>
      <c r="C18" s="43"/>
      <c r="D18" s="33"/>
      <c r="E18" s="33"/>
      <c r="F18" s="33"/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13860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1247.4000000000001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1247.4000000000001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16354.8</v>
      </c>
    </row>
    <row r="34" spans="1:6" ht="15" thickBot="1" x14ac:dyDescent="0.35">
      <c r="A34" s="73" t="str">
        <f>SpellNumber(F33)</f>
        <v xml:space="preserve">Rupees Sixteen Thousand Three Hundred FiftyFour Paise Eighty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H16" sqref="H16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0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289</v>
      </c>
      <c r="B7" s="77"/>
      <c r="C7" s="77"/>
      <c r="D7" s="77"/>
      <c r="E7" s="15" t="s">
        <v>3</v>
      </c>
      <c r="F7" s="17" t="s">
        <v>4</v>
      </c>
      <c r="G7" s="40"/>
      <c r="H7" s="18"/>
      <c r="I7" s="41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290</v>
      </c>
      <c r="B8" s="89"/>
      <c r="C8" s="89"/>
      <c r="D8" s="89"/>
      <c r="E8" s="15" t="s">
        <v>6</v>
      </c>
      <c r="F8" s="17">
        <v>380893</v>
      </c>
      <c r="G8" s="40"/>
      <c r="H8" s="12"/>
      <c r="I8" s="41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291</v>
      </c>
      <c r="B9" s="91"/>
      <c r="C9" s="91"/>
      <c r="D9" s="91"/>
      <c r="E9" s="15" t="s">
        <v>8</v>
      </c>
      <c r="F9" s="17" t="s">
        <v>9</v>
      </c>
      <c r="G9" s="40"/>
      <c r="H9" s="18"/>
      <c r="I9" s="4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/>
      <c r="B10" s="91"/>
      <c r="C10" s="91"/>
      <c r="D10" s="91"/>
      <c r="E10" s="15" t="s">
        <v>11</v>
      </c>
      <c r="F10" s="17">
        <v>1686</v>
      </c>
      <c r="G10" s="40"/>
      <c r="H10" s="12"/>
      <c r="I10" s="41"/>
      <c r="J10" s="40"/>
      <c r="K10" s="40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292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293</v>
      </c>
      <c r="D17" s="33">
        <v>11</v>
      </c>
      <c r="E17" s="33">
        <v>630</v>
      </c>
      <c r="F17" s="33">
        <f>E17*D17</f>
        <v>6930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5.6" x14ac:dyDescent="0.3">
      <c r="A18" s="33"/>
      <c r="B18" s="4"/>
      <c r="C18" s="43"/>
      <c r="D18" s="33"/>
      <c r="E18" s="33"/>
      <c r="F18" s="33"/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6930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623.70000000000005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623.70000000000005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8177.4</v>
      </c>
    </row>
    <row r="34" spans="1:6" ht="15" thickBot="1" x14ac:dyDescent="0.35">
      <c r="A34" s="73" t="str">
        <f>SpellNumber(F33)</f>
        <v xml:space="preserve">Rupees Eight Thousand One Hundred SeventySeven Paise Fourty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G34" sqref="G34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1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294</v>
      </c>
      <c r="B7" s="77"/>
      <c r="C7" s="77"/>
      <c r="D7" s="77"/>
      <c r="E7" s="15" t="s">
        <v>3</v>
      </c>
      <c r="F7" s="17" t="s">
        <v>4</v>
      </c>
      <c r="G7" s="40"/>
      <c r="H7" s="18"/>
      <c r="I7" s="41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295</v>
      </c>
      <c r="B8" s="89"/>
      <c r="C8" s="89"/>
      <c r="D8" s="89"/>
      <c r="E8" s="15" t="s">
        <v>6</v>
      </c>
      <c r="F8" s="17">
        <v>380893</v>
      </c>
      <c r="G8" s="40"/>
      <c r="H8" s="12"/>
      <c r="I8" s="41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297</v>
      </c>
      <c r="B9" s="91"/>
      <c r="C9" s="91"/>
      <c r="D9" s="91"/>
      <c r="E9" s="15" t="s">
        <v>8</v>
      </c>
      <c r="F9" s="17" t="s">
        <v>9</v>
      </c>
      <c r="G9" s="40"/>
      <c r="H9" s="18"/>
      <c r="I9" s="4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296</v>
      </c>
      <c r="B10" s="91"/>
      <c r="C10" s="91"/>
      <c r="D10" s="91"/>
      <c r="E10" s="15" t="s">
        <v>11</v>
      </c>
      <c r="F10" s="17">
        <v>1681</v>
      </c>
      <c r="G10" s="40"/>
      <c r="H10" s="12"/>
      <c r="I10" s="41"/>
      <c r="J10" s="40"/>
      <c r="K10" s="40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298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299</v>
      </c>
      <c r="D17" s="33">
        <v>28</v>
      </c>
      <c r="E17" s="33">
        <v>550</v>
      </c>
      <c r="F17" s="33">
        <f>E17*D17</f>
        <v>15400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7.399999999999999" x14ac:dyDescent="0.3">
      <c r="A18" s="33">
        <v>2</v>
      </c>
      <c r="B18" s="4"/>
      <c r="C18" s="47" t="s">
        <v>300</v>
      </c>
      <c r="D18" s="33">
        <v>0</v>
      </c>
      <c r="E18" s="33">
        <v>550</v>
      </c>
      <c r="F18" s="33">
        <f t="shared" ref="F18:F22" si="0">E18*D18</f>
        <v>0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>
        <v>3</v>
      </c>
      <c r="B19" s="4"/>
      <c r="C19" s="47" t="s">
        <v>301</v>
      </c>
      <c r="D19" s="33">
        <v>24</v>
      </c>
      <c r="E19" s="33">
        <v>550</v>
      </c>
      <c r="F19" s="33">
        <f t="shared" si="0"/>
        <v>13200</v>
      </c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>
        <v>4</v>
      </c>
      <c r="B20" s="4"/>
      <c r="C20" s="61" t="s">
        <v>302</v>
      </c>
      <c r="D20" s="33">
        <v>3</v>
      </c>
      <c r="E20" s="33">
        <v>550</v>
      </c>
      <c r="F20" s="33">
        <f t="shared" si="0"/>
        <v>1650</v>
      </c>
    </row>
    <row r="21" spans="1:27" ht="17.399999999999999" x14ac:dyDescent="0.3">
      <c r="A21" s="33">
        <v>5</v>
      </c>
      <c r="B21" s="4"/>
      <c r="C21" s="61" t="s">
        <v>303</v>
      </c>
      <c r="D21" s="33">
        <v>0</v>
      </c>
      <c r="E21" s="33">
        <v>550</v>
      </c>
      <c r="F21" s="33">
        <f t="shared" si="0"/>
        <v>0</v>
      </c>
    </row>
    <row r="22" spans="1:27" ht="17.399999999999999" x14ac:dyDescent="0.3">
      <c r="A22" s="33">
        <v>6</v>
      </c>
      <c r="B22" s="4"/>
      <c r="C22" s="61" t="s">
        <v>342</v>
      </c>
      <c r="D22" s="65">
        <v>1</v>
      </c>
      <c r="E22" s="64">
        <v>550</v>
      </c>
      <c r="F22" s="33">
        <f t="shared" si="0"/>
        <v>550</v>
      </c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30800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2772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2772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36344</v>
      </c>
    </row>
    <row r="34" spans="1:6" ht="15" thickBot="1" x14ac:dyDescent="0.35">
      <c r="A34" s="73" t="str">
        <f>SpellNumber(F33)</f>
        <v xml:space="preserve">Rupees ThirtySix Thousand Three Hundred FourtyFour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topLeftCell="A7" workbookViewId="0">
      <selection activeCell="G18" sqref="G18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1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304</v>
      </c>
      <c r="B7" s="77"/>
      <c r="C7" s="77"/>
      <c r="D7" s="77"/>
      <c r="E7" s="15" t="s">
        <v>3</v>
      </c>
      <c r="F7" s="17" t="s">
        <v>4</v>
      </c>
      <c r="G7" s="40"/>
      <c r="H7" s="18"/>
      <c r="I7" s="41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307</v>
      </c>
      <c r="B8" s="89"/>
      <c r="C8" s="89"/>
      <c r="D8" s="89"/>
      <c r="E8" s="15" t="s">
        <v>6</v>
      </c>
      <c r="F8" s="17">
        <v>380893</v>
      </c>
      <c r="G8" s="40"/>
      <c r="H8" s="12"/>
      <c r="I8" s="41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305</v>
      </c>
      <c r="B9" s="91"/>
      <c r="C9" s="91"/>
      <c r="D9" s="91"/>
      <c r="E9" s="15" t="s">
        <v>8</v>
      </c>
      <c r="F9" s="17" t="s">
        <v>9</v>
      </c>
      <c r="G9" s="40"/>
      <c r="H9" s="18"/>
      <c r="I9" s="4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306</v>
      </c>
      <c r="B10" s="91"/>
      <c r="C10" s="91"/>
      <c r="D10" s="91"/>
      <c r="E10" s="15" t="s">
        <v>11</v>
      </c>
      <c r="F10" s="17">
        <v>1717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308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309</v>
      </c>
      <c r="D17" s="33">
        <v>20</v>
      </c>
      <c r="E17" s="33">
        <v>648</v>
      </c>
      <c r="F17" s="33">
        <f>E17*D17</f>
        <v>12960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5.6" x14ac:dyDescent="0.3">
      <c r="A18" s="33">
        <v>2</v>
      </c>
      <c r="B18" s="4"/>
      <c r="C18" s="43" t="s">
        <v>310</v>
      </c>
      <c r="D18" s="33">
        <v>19</v>
      </c>
      <c r="E18" s="33">
        <v>648</v>
      </c>
      <c r="F18" s="33">
        <f t="shared" ref="F18" si="0">E18*D18</f>
        <v>12312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7.399999999999999" x14ac:dyDescent="0.3">
      <c r="A19" s="33"/>
      <c r="B19" s="4"/>
      <c r="C19" s="47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7.399999999999999" x14ac:dyDescent="0.3">
      <c r="A20" s="33"/>
      <c r="B20" s="4"/>
      <c r="C20" s="61"/>
      <c r="D20" s="33"/>
      <c r="E20" s="33"/>
      <c r="F20" s="33"/>
    </row>
    <row r="21" spans="1:27" ht="17.399999999999999" x14ac:dyDescent="0.3">
      <c r="A21" s="33"/>
      <c r="B21" s="4"/>
      <c r="C21" s="61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25272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2274.48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2274.48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29820.959999999999</v>
      </c>
    </row>
    <row r="34" spans="1:6" ht="15" thickBot="1" x14ac:dyDescent="0.35">
      <c r="A34" s="73" t="str">
        <f>SpellNumber(F33)</f>
        <v xml:space="preserve">Rupees TwentyNine Thousand Eight Hundred Twenty Paise NinetySix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H22" sqref="H22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1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311</v>
      </c>
      <c r="B7" s="77"/>
      <c r="C7" s="77"/>
      <c r="D7" s="77"/>
      <c r="E7" s="15" t="s">
        <v>3</v>
      </c>
      <c r="F7" s="17" t="s">
        <v>4</v>
      </c>
      <c r="G7" s="40"/>
      <c r="H7" s="18"/>
      <c r="I7" s="41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313</v>
      </c>
      <c r="B8" s="89"/>
      <c r="C8" s="89"/>
      <c r="D8" s="89"/>
      <c r="E8" s="15" t="s">
        <v>6</v>
      </c>
      <c r="F8" s="17">
        <v>380893</v>
      </c>
      <c r="G8" s="40"/>
      <c r="H8" s="12"/>
      <c r="I8" s="41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312</v>
      </c>
      <c r="B9" s="91"/>
      <c r="C9" s="91"/>
      <c r="D9" s="91"/>
      <c r="E9" s="15" t="s">
        <v>8</v>
      </c>
      <c r="F9" s="17" t="s">
        <v>9</v>
      </c>
      <c r="G9" s="40"/>
      <c r="H9" s="18"/>
      <c r="I9" s="4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/>
      <c r="B10" s="91"/>
      <c r="C10" s="91"/>
      <c r="D10" s="91"/>
      <c r="E10" s="15" t="s">
        <v>11</v>
      </c>
      <c r="F10" s="17">
        <v>1719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314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315</v>
      </c>
      <c r="D17" s="33">
        <v>15</v>
      </c>
      <c r="E17" s="33">
        <v>580</v>
      </c>
      <c r="F17" s="33">
        <f>E17*D17</f>
        <v>8700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5.6" x14ac:dyDescent="0.3">
      <c r="A18" s="33">
        <v>2</v>
      </c>
      <c r="B18" s="4"/>
      <c r="C18" s="43" t="s">
        <v>316</v>
      </c>
      <c r="D18" s="33">
        <v>13</v>
      </c>
      <c r="E18" s="33">
        <v>580</v>
      </c>
      <c r="F18" s="33">
        <f t="shared" ref="F18:F21" si="0">E18*D18</f>
        <v>7540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x14ac:dyDescent="0.3">
      <c r="A19" s="33">
        <v>3</v>
      </c>
      <c r="B19" s="4"/>
      <c r="C19" s="54" t="s">
        <v>317</v>
      </c>
      <c r="D19" s="33">
        <v>14</v>
      </c>
      <c r="E19" s="33">
        <v>820</v>
      </c>
      <c r="F19" s="33">
        <f t="shared" si="0"/>
        <v>11480</v>
      </c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5.6" x14ac:dyDescent="0.3">
      <c r="A20" s="33">
        <v>4</v>
      </c>
      <c r="B20" s="4"/>
      <c r="C20" s="69" t="s">
        <v>318</v>
      </c>
      <c r="D20" s="33">
        <v>9</v>
      </c>
      <c r="E20" s="33">
        <v>400</v>
      </c>
      <c r="F20" s="33">
        <f t="shared" si="0"/>
        <v>3600</v>
      </c>
    </row>
    <row r="21" spans="1:27" ht="18" x14ac:dyDescent="0.35">
      <c r="A21" s="33">
        <v>5</v>
      </c>
      <c r="B21" s="4"/>
      <c r="C21" s="42" t="s">
        <v>319</v>
      </c>
      <c r="D21" s="33">
        <v>11</v>
      </c>
      <c r="E21" s="33">
        <v>400</v>
      </c>
      <c r="F21" s="33">
        <f t="shared" si="0"/>
        <v>4400</v>
      </c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35720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3214.8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3214.8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42149.600000000006</v>
      </c>
    </row>
    <row r="34" spans="1:6" ht="15" thickBot="1" x14ac:dyDescent="0.35">
      <c r="A34" s="73" t="str">
        <f>SpellNumber(F33)</f>
        <v xml:space="preserve">Rupees FourtyTwo Thousand One Hundred FourtyNine Paise Sixty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workbookViewId="0">
      <selection activeCell="G20" sqref="G20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1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320</v>
      </c>
      <c r="B7" s="77"/>
      <c r="C7" s="77"/>
      <c r="D7" s="77"/>
      <c r="E7" s="15" t="s">
        <v>3</v>
      </c>
      <c r="F7" s="17" t="s">
        <v>4</v>
      </c>
      <c r="G7" s="40"/>
      <c r="H7" s="18"/>
      <c r="I7" s="41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321</v>
      </c>
      <c r="B8" s="89"/>
      <c r="C8" s="89"/>
      <c r="D8" s="89"/>
      <c r="E8" s="15" t="s">
        <v>6</v>
      </c>
      <c r="F8" s="17">
        <v>380893</v>
      </c>
      <c r="G8" s="40"/>
      <c r="H8" s="12"/>
      <c r="I8" s="41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322</v>
      </c>
      <c r="B9" s="91"/>
      <c r="C9" s="91"/>
      <c r="D9" s="91"/>
      <c r="E9" s="15" t="s">
        <v>8</v>
      </c>
      <c r="F9" s="17" t="s">
        <v>9</v>
      </c>
      <c r="G9" s="40"/>
      <c r="H9" s="18"/>
      <c r="I9" s="4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 t="s">
        <v>323</v>
      </c>
      <c r="B10" s="91"/>
      <c r="C10" s="91"/>
      <c r="D10" s="91"/>
      <c r="E10" s="15" t="s">
        <v>11</v>
      </c>
      <c r="F10" s="17">
        <v>1718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324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8" x14ac:dyDescent="0.35">
      <c r="A17" s="33">
        <v>1</v>
      </c>
      <c r="B17" s="4"/>
      <c r="C17" s="42" t="s">
        <v>325</v>
      </c>
      <c r="D17" s="33">
        <v>20</v>
      </c>
      <c r="E17" s="33">
        <v>630</v>
      </c>
      <c r="F17" s="33">
        <f>E17*D17</f>
        <v>12600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5.6" x14ac:dyDescent="0.3">
      <c r="A18" s="33"/>
      <c r="B18" s="4"/>
      <c r="C18" s="43"/>
      <c r="D18" s="33"/>
      <c r="E18" s="33"/>
      <c r="F18" s="33"/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x14ac:dyDescent="0.3">
      <c r="A19" s="33"/>
      <c r="B19" s="4"/>
      <c r="C19" s="54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5.6" x14ac:dyDescent="0.3">
      <c r="A20" s="33"/>
      <c r="B20" s="4"/>
      <c r="C20" s="69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12600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1134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1134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14868</v>
      </c>
    </row>
    <row r="34" spans="1:6" ht="15" thickBot="1" x14ac:dyDescent="0.35">
      <c r="A34" s="73" t="str">
        <f>SpellNumber(F33)</f>
        <v xml:space="preserve">Rupees Fourteen Thousand Eight Hundred SixtyEight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view="pageBreakPreview" zoomScale="60" zoomScaleNormal="100" workbookViewId="0">
      <selection activeCell="F20" sqref="F20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1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326</v>
      </c>
      <c r="B7" s="77"/>
      <c r="C7" s="77"/>
      <c r="D7" s="77"/>
      <c r="E7" s="15" t="s">
        <v>3</v>
      </c>
      <c r="F7" s="17" t="s">
        <v>4</v>
      </c>
      <c r="G7" s="40"/>
      <c r="H7" s="18"/>
      <c r="I7" s="41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327</v>
      </c>
      <c r="B8" s="89"/>
      <c r="C8" s="89"/>
      <c r="D8" s="89"/>
      <c r="E8" s="15" t="s">
        <v>6</v>
      </c>
      <c r="F8" s="17">
        <v>380893</v>
      </c>
      <c r="G8" s="40"/>
      <c r="H8" s="12"/>
      <c r="I8" s="41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328</v>
      </c>
      <c r="B9" s="91"/>
      <c r="C9" s="91"/>
      <c r="D9" s="91"/>
      <c r="E9" s="15" t="s">
        <v>8</v>
      </c>
      <c r="F9" s="17" t="s">
        <v>9</v>
      </c>
      <c r="G9" s="40"/>
      <c r="H9" s="18"/>
      <c r="I9" s="4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5.6" x14ac:dyDescent="0.3">
      <c r="A10" s="90"/>
      <c r="B10" s="91"/>
      <c r="C10" s="91"/>
      <c r="D10" s="91"/>
      <c r="E10" s="15" t="s">
        <v>11</v>
      </c>
      <c r="F10" s="17">
        <v>1679</v>
      </c>
      <c r="G10" s="40"/>
      <c r="H10" s="12"/>
      <c r="I10" s="41"/>
      <c r="J10" s="40"/>
      <c r="K10" s="41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329</v>
      </c>
      <c r="B11" s="79"/>
      <c r="C11" s="79"/>
      <c r="D11" s="79"/>
      <c r="E11" s="24"/>
      <c r="F11" s="24"/>
      <c r="G11" s="40"/>
      <c r="H11" s="40"/>
      <c r="I11" s="41"/>
      <c r="J11" s="41"/>
      <c r="K11" s="51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21" x14ac:dyDescent="0.4">
      <c r="A17" s="33">
        <v>1</v>
      </c>
      <c r="B17" s="4"/>
      <c r="C17" s="60" t="s">
        <v>330</v>
      </c>
      <c r="D17" s="33">
        <v>13</v>
      </c>
      <c r="E17" s="33">
        <v>600</v>
      </c>
      <c r="F17" s="33">
        <f>E17*D17</f>
        <v>7800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5.6" x14ac:dyDescent="0.3">
      <c r="A18" s="33">
        <v>2</v>
      </c>
      <c r="B18" s="4"/>
      <c r="C18" s="43" t="s">
        <v>340</v>
      </c>
      <c r="D18" s="33">
        <v>14</v>
      </c>
      <c r="E18" s="33">
        <v>900</v>
      </c>
      <c r="F18" s="33">
        <f>E18*D18</f>
        <v>12600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x14ac:dyDescent="0.3">
      <c r="A19" s="33"/>
      <c r="B19" s="4"/>
      <c r="C19" s="54"/>
      <c r="D19" s="33"/>
      <c r="E19" s="33"/>
      <c r="F19" s="33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5.6" x14ac:dyDescent="0.3">
      <c r="A20" s="33"/>
      <c r="B20" s="4"/>
      <c r="C20" s="69"/>
      <c r="D20" s="33"/>
      <c r="E20" s="33"/>
      <c r="F20" s="33"/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20400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1836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1836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24072</v>
      </c>
    </row>
    <row r="34" spans="1:6" ht="15" thickBot="1" x14ac:dyDescent="0.35">
      <c r="A34" s="73" t="str">
        <f>SpellNumber(F33)</f>
        <v xml:space="preserve">Rupees TwentyFour Thousand SeventyTwo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scale="90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34"/>
  <sheetViews>
    <sheetView topLeftCell="A4" workbookViewId="0">
      <selection activeCell="F19" sqref="F19"/>
    </sheetView>
  </sheetViews>
  <sheetFormatPr defaultRowHeight="14.4" x14ac:dyDescent="0.3"/>
  <cols>
    <col min="1" max="1" width="6.6640625" customWidth="1"/>
    <col min="2" max="2" width="9.88671875" customWidth="1"/>
    <col min="3" max="3" width="22.6640625" customWidth="1"/>
    <col min="4" max="4" width="8.109375" customWidth="1"/>
    <col min="5" max="5" width="16.88671875" customWidth="1"/>
    <col min="6" max="6" width="23.88671875" customWidth="1"/>
    <col min="7" max="7" width="9.77734375" customWidth="1"/>
    <col min="9" max="9" width="7.88671875" customWidth="1"/>
    <col min="11" max="11" width="11" customWidth="1"/>
  </cols>
  <sheetData>
    <row r="1" spans="1:27" ht="39" customHeight="1" x14ac:dyDescent="0.95">
      <c r="A1" s="80" t="s">
        <v>26</v>
      </c>
      <c r="B1" s="80"/>
      <c r="C1" s="80"/>
      <c r="D1" s="80"/>
      <c r="E1" s="80"/>
      <c r="F1" s="80"/>
      <c r="G1" s="19"/>
      <c r="H1" s="19"/>
      <c r="I1" s="19"/>
    </row>
    <row r="2" spans="1:27" ht="16.2" x14ac:dyDescent="0.3">
      <c r="A2" s="81" t="s">
        <v>24</v>
      </c>
      <c r="B2" s="81"/>
      <c r="C2" s="81"/>
      <c r="D2" s="81"/>
      <c r="E2" s="81"/>
      <c r="F2" s="81"/>
      <c r="G2" s="20"/>
      <c r="H2" s="20"/>
      <c r="I2" s="20"/>
    </row>
    <row r="3" spans="1:27" ht="18" x14ac:dyDescent="0.35">
      <c r="A3" s="82" t="s">
        <v>25</v>
      </c>
      <c r="B3" s="82"/>
      <c r="C3" s="82"/>
      <c r="D3" s="82"/>
      <c r="E3" s="82"/>
      <c r="F3" s="82"/>
      <c r="G3" s="21"/>
      <c r="H3" s="21"/>
      <c r="I3" s="21"/>
      <c r="J3" s="40"/>
      <c r="K3" s="40"/>
      <c r="L3" s="40"/>
      <c r="M3" s="40"/>
      <c r="N3" s="40"/>
      <c r="O3" s="40"/>
      <c r="P3" s="40"/>
      <c r="Q3" s="40"/>
    </row>
    <row r="4" spans="1:27" ht="4.8" customHeight="1" x14ac:dyDescent="0.35">
      <c r="A4" s="83"/>
      <c r="B4" s="83"/>
      <c r="C4" s="83"/>
      <c r="D4" s="83"/>
      <c r="E4" s="83"/>
      <c r="F4" s="83"/>
      <c r="G4" s="22"/>
      <c r="H4" s="22"/>
      <c r="I4" s="22"/>
      <c r="J4" s="40"/>
      <c r="K4" s="40"/>
      <c r="L4" s="40"/>
      <c r="M4" s="40"/>
      <c r="N4" s="40"/>
      <c r="O4" s="40"/>
      <c r="P4" s="40"/>
      <c r="Q4" s="40"/>
    </row>
    <row r="5" spans="1:27" ht="12.6" customHeight="1" thickBot="1" x14ac:dyDescent="0.35"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</row>
    <row r="6" spans="1:27" ht="15.6" x14ac:dyDescent="0.3">
      <c r="A6" s="84" t="s">
        <v>0</v>
      </c>
      <c r="B6" s="85"/>
      <c r="C6" s="85"/>
      <c r="D6" s="85"/>
      <c r="E6" s="14" t="s">
        <v>1</v>
      </c>
      <c r="F6" s="44">
        <v>46235</v>
      </c>
      <c r="G6" s="40"/>
      <c r="H6" s="13"/>
      <c r="I6" s="41"/>
      <c r="J6" s="41"/>
      <c r="K6" s="41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27" ht="15.6" x14ac:dyDescent="0.3">
      <c r="A7" s="76" t="s">
        <v>331</v>
      </c>
      <c r="B7" s="77"/>
      <c r="C7" s="77"/>
      <c r="D7" s="77"/>
      <c r="E7" s="15" t="s">
        <v>3</v>
      </c>
      <c r="F7" s="17" t="s">
        <v>4</v>
      </c>
      <c r="G7" s="40"/>
      <c r="H7" s="18"/>
      <c r="I7" s="41"/>
      <c r="J7" s="41"/>
      <c r="K7" s="41"/>
      <c r="L7" s="41"/>
      <c r="M7" s="41"/>
      <c r="N7" s="41"/>
      <c r="O7" s="40"/>
      <c r="P7" s="40"/>
      <c r="Q7" s="1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5.6" x14ac:dyDescent="0.3">
      <c r="A8" s="88" t="s">
        <v>332</v>
      </c>
      <c r="B8" s="89"/>
      <c r="C8" s="89"/>
      <c r="D8" s="89"/>
      <c r="E8" s="15" t="s">
        <v>6</v>
      </c>
      <c r="F8" s="17">
        <v>380893</v>
      </c>
      <c r="G8" s="40"/>
      <c r="H8" s="12"/>
      <c r="I8" s="41"/>
      <c r="J8" s="41"/>
      <c r="K8" s="41"/>
      <c r="L8" s="41"/>
      <c r="M8" s="40"/>
      <c r="N8" s="40"/>
      <c r="O8" s="40"/>
      <c r="P8" s="40"/>
      <c r="Q8" s="11"/>
      <c r="R8" s="40"/>
      <c r="S8" s="40"/>
      <c r="T8" s="40"/>
      <c r="U8" s="40"/>
      <c r="V8" s="40"/>
      <c r="W8" s="40"/>
      <c r="X8" s="40"/>
      <c r="Y8" s="40"/>
      <c r="Z8" s="40"/>
      <c r="AA8" s="40"/>
    </row>
    <row r="9" spans="1:27" ht="15.6" x14ac:dyDescent="0.3">
      <c r="A9" s="90" t="s">
        <v>333</v>
      </c>
      <c r="B9" s="91"/>
      <c r="C9" s="91"/>
      <c r="D9" s="91"/>
      <c r="E9" s="15" t="s">
        <v>8</v>
      </c>
      <c r="F9" s="17" t="s">
        <v>9</v>
      </c>
      <c r="G9" s="40"/>
      <c r="H9" s="18"/>
      <c r="I9" s="41"/>
      <c r="J9" s="41"/>
      <c r="K9" s="41"/>
      <c r="L9" s="41"/>
      <c r="M9" s="40"/>
      <c r="N9" s="40"/>
      <c r="O9" s="40"/>
      <c r="P9" s="40"/>
      <c r="Q9" s="11"/>
      <c r="R9" s="40"/>
      <c r="S9" s="40"/>
      <c r="T9" s="40"/>
      <c r="U9" s="40"/>
      <c r="V9" s="40"/>
      <c r="W9" s="40"/>
      <c r="X9" s="40"/>
      <c r="Y9" s="40"/>
      <c r="Z9" s="40"/>
      <c r="AA9" s="40"/>
    </row>
    <row r="10" spans="1:27" ht="17.399999999999999" x14ac:dyDescent="0.3">
      <c r="A10" s="90" t="s">
        <v>334</v>
      </c>
      <c r="B10" s="91"/>
      <c r="C10" s="91"/>
      <c r="D10" s="91"/>
      <c r="E10" s="15" t="s">
        <v>11</v>
      </c>
      <c r="F10" s="17">
        <v>1720</v>
      </c>
      <c r="G10" s="40"/>
      <c r="H10" s="12"/>
      <c r="I10" s="41"/>
      <c r="J10" s="40"/>
      <c r="K10" s="70"/>
      <c r="L10" s="41"/>
      <c r="M10" s="40"/>
      <c r="N10" s="40"/>
      <c r="O10" s="40"/>
      <c r="P10" s="40"/>
      <c r="Q10" s="11"/>
      <c r="R10" s="40"/>
      <c r="S10" s="40"/>
      <c r="T10" s="40"/>
      <c r="U10" s="40"/>
      <c r="V10" s="40"/>
      <c r="W10" s="40"/>
      <c r="X10" s="40"/>
      <c r="Y10" s="40"/>
      <c r="Z10" s="40"/>
      <c r="AA10" s="40"/>
    </row>
    <row r="11" spans="1:27" ht="23.4" thickBot="1" x14ac:dyDescent="0.35">
      <c r="A11" s="78" t="s">
        <v>335</v>
      </c>
      <c r="B11" s="79"/>
      <c r="C11" s="79"/>
      <c r="D11" s="79"/>
      <c r="E11" s="24"/>
      <c r="F11" s="24"/>
      <c r="G11" s="40"/>
      <c r="H11" s="40"/>
      <c r="I11" s="41"/>
      <c r="J11" s="41"/>
      <c r="K11" s="40"/>
      <c r="L11" s="40"/>
      <c r="M11" s="40"/>
      <c r="N11" s="40"/>
      <c r="O11" s="40"/>
      <c r="P11" s="40"/>
      <c r="Q11" s="11"/>
      <c r="R11" s="40"/>
      <c r="S11" s="40"/>
      <c r="T11" s="40"/>
      <c r="U11" s="40"/>
      <c r="V11" s="40"/>
      <c r="W11" s="40"/>
      <c r="X11" s="40"/>
      <c r="Y11" s="40"/>
      <c r="Z11" s="40"/>
      <c r="AA11" s="40"/>
    </row>
    <row r="12" spans="1:27" ht="15.6" x14ac:dyDescent="0.3">
      <c r="F12" s="40"/>
      <c r="G12" s="40"/>
      <c r="H12" s="40"/>
      <c r="I12" s="41"/>
      <c r="J12" s="41"/>
      <c r="K12" s="40"/>
      <c r="L12" s="71"/>
      <c r="M12" s="71"/>
      <c r="N12" s="71"/>
      <c r="O12" s="40"/>
      <c r="P12" s="40"/>
      <c r="Q12" s="11"/>
      <c r="R12" s="40"/>
      <c r="S12" s="40"/>
      <c r="T12" s="40"/>
      <c r="U12" s="40"/>
      <c r="V12" s="40"/>
      <c r="W12" s="40"/>
      <c r="X12" s="40"/>
      <c r="Y12" s="40"/>
      <c r="Z12" s="40"/>
      <c r="AA12" s="40"/>
    </row>
    <row r="13" spans="1:27" ht="18" x14ac:dyDescent="0.35">
      <c r="A13" s="72" t="s">
        <v>341</v>
      </c>
      <c r="B13" s="72"/>
      <c r="C13" s="72"/>
      <c r="D13" s="72"/>
      <c r="E13" s="72"/>
      <c r="F13" s="72"/>
      <c r="G13" s="23"/>
      <c r="H13" s="52"/>
      <c r="I13" s="52"/>
      <c r="J13" s="40"/>
      <c r="K13" s="40"/>
      <c r="L13" s="40"/>
      <c r="M13" s="40"/>
      <c r="N13" s="40"/>
      <c r="O13" s="40"/>
      <c r="P13" s="40"/>
      <c r="Q13" s="11"/>
      <c r="R13" s="40"/>
      <c r="S13" s="40"/>
      <c r="T13" s="40"/>
      <c r="U13" s="40"/>
      <c r="V13" s="40"/>
      <c r="W13" s="40"/>
      <c r="X13" s="40"/>
      <c r="Y13" s="40"/>
      <c r="Z13" s="40"/>
      <c r="AA13" s="40"/>
    </row>
    <row r="14" spans="1:27" ht="16.2" thickBot="1" x14ac:dyDescent="0.35">
      <c r="I14" s="40"/>
      <c r="J14" s="51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</row>
    <row r="15" spans="1:27" ht="27.6" thickBot="1" x14ac:dyDescent="0.35">
      <c r="A15" s="25" t="s">
        <v>13</v>
      </c>
      <c r="B15" s="34" t="s">
        <v>14</v>
      </c>
      <c r="C15" s="26" t="s">
        <v>20</v>
      </c>
      <c r="D15" s="27" t="s">
        <v>15</v>
      </c>
      <c r="E15" s="26" t="s">
        <v>21</v>
      </c>
      <c r="F15" s="25" t="s">
        <v>16</v>
      </c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</row>
    <row r="16" spans="1:27" x14ac:dyDescent="0.3">
      <c r="A16" s="5"/>
      <c r="B16" s="4"/>
      <c r="C16" s="40"/>
      <c r="D16" s="65"/>
      <c r="E16" s="4"/>
      <c r="F16" s="4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</row>
    <row r="17" spans="1:27" ht="15.6" x14ac:dyDescent="0.3">
      <c r="A17" s="33">
        <v>1</v>
      </c>
      <c r="B17" s="4"/>
      <c r="C17" s="45" t="s">
        <v>336</v>
      </c>
      <c r="D17" s="33">
        <v>0</v>
      </c>
      <c r="E17" s="33">
        <v>660</v>
      </c>
      <c r="F17" s="33">
        <f>E17*D17</f>
        <v>0</v>
      </c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</row>
    <row r="18" spans="1:27" ht="15.6" x14ac:dyDescent="0.3">
      <c r="A18" s="33">
        <v>2</v>
      </c>
      <c r="B18" s="4"/>
      <c r="C18" s="43" t="s">
        <v>337</v>
      </c>
      <c r="D18" s="33">
        <v>8</v>
      </c>
      <c r="E18" s="33">
        <v>720</v>
      </c>
      <c r="F18" s="33">
        <f>E18*D18</f>
        <v>5760</v>
      </c>
      <c r="K18" s="43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</row>
    <row r="19" spans="1:27" ht="15.6" x14ac:dyDescent="0.3">
      <c r="A19" s="33">
        <v>3</v>
      </c>
      <c r="B19" s="4"/>
      <c r="C19" s="43" t="s">
        <v>338</v>
      </c>
      <c r="D19" s="33">
        <v>0</v>
      </c>
      <c r="E19" s="33"/>
      <c r="F19" s="33">
        <f t="shared" ref="F19:F20" si="0">E19*D19</f>
        <v>0</v>
      </c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</row>
    <row r="20" spans="1:27" ht="15.6" x14ac:dyDescent="0.3">
      <c r="A20" s="33">
        <v>4</v>
      </c>
      <c r="B20" s="4"/>
      <c r="C20" s="69" t="s">
        <v>339</v>
      </c>
      <c r="D20" s="33">
        <v>0</v>
      </c>
      <c r="E20" s="33">
        <v>360</v>
      </c>
      <c r="F20" s="33">
        <f t="shared" si="0"/>
        <v>0</v>
      </c>
    </row>
    <row r="21" spans="1:27" ht="18" x14ac:dyDescent="0.35">
      <c r="A21" s="33"/>
      <c r="B21" s="4"/>
      <c r="C21" s="42"/>
      <c r="D21" s="33"/>
      <c r="E21" s="33"/>
      <c r="F21" s="33"/>
    </row>
    <row r="22" spans="1:27" ht="17.399999999999999" x14ac:dyDescent="0.3">
      <c r="A22" s="33"/>
      <c r="B22" s="4"/>
      <c r="C22" s="61"/>
      <c r="D22" s="65"/>
      <c r="E22" s="64"/>
      <c r="F22" s="33"/>
    </row>
    <row r="23" spans="1:27" ht="17.399999999999999" x14ac:dyDescent="0.3">
      <c r="A23" s="33"/>
      <c r="B23" s="4"/>
      <c r="C23" s="47"/>
      <c r="D23" s="65"/>
      <c r="E23" s="64"/>
      <c r="F23" s="33"/>
    </row>
    <row r="24" spans="1:27" x14ac:dyDescent="0.3">
      <c r="A24" s="4"/>
      <c r="B24" s="4"/>
      <c r="C24" s="4"/>
      <c r="D24" s="65"/>
      <c r="E24" s="4"/>
      <c r="F24" s="4"/>
    </row>
    <row r="25" spans="1:27" x14ac:dyDescent="0.3">
      <c r="A25" s="4"/>
      <c r="B25" s="4"/>
      <c r="C25" s="4"/>
      <c r="D25" s="4"/>
      <c r="E25" s="4"/>
      <c r="F25" s="4"/>
    </row>
    <row r="26" spans="1:27" x14ac:dyDescent="0.3">
      <c r="A26" s="4"/>
      <c r="B26" s="4"/>
      <c r="C26" s="4"/>
      <c r="D26" s="4"/>
      <c r="E26" s="4"/>
      <c r="F26" s="4"/>
    </row>
    <row r="27" spans="1:27" x14ac:dyDescent="0.3">
      <c r="A27" s="4"/>
      <c r="B27" s="4"/>
      <c r="C27" s="4"/>
      <c r="D27" s="4"/>
      <c r="E27" s="4"/>
      <c r="F27" s="4"/>
    </row>
    <row r="28" spans="1:27" x14ac:dyDescent="0.3">
      <c r="A28" s="4"/>
      <c r="B28" s="4"/>
      <c r="C28" s="4"/>
      <c r="D28" s="4"/>
      <c r="E28" s="4"/>
      <c r="F28" s="4"/>
    </row>
    <row r="29" spans="1:27" ht="15" thickBot="1" x14ac:dyDescent="0.35">
      <c r="A29" s="2"/>
      <c r="B29" s="2"/>
      <c r="C29" s="2"/>
      <c r="D29" s="2"/>
      <c r="E29" s="4"/>
      <c r="F29" s="4"/>
    </row>
    <row r="30" spans="1:27" ht="15" thickBot="1" x14ac:dyDescent="0.35">
      <c r="A30" s="8" t="s">
        <v>99</v>
      </c>
      <c r="B30" s="1"/>
      <c r="C30" s="1"/>
      <c r="D30" s="57"/>
      <c r="E30" s="28" t="s">
        <v>17</v>
      </c>
      <c r="F30" s="32">
        <f>F17+F18+F19+F20+F21+F22+F23</f>
        <v>5760</v>
      </c>
    </row>
    <row r="31" spans="1:27" ht="18.600000000000001" thickBot="1" x14ac:dyDescent="0.4">
      <c r="A31" s="5" t="s">
        <v>100</v>
      </c>
      <c r="B31" s="40"/>
      <c r="C31" s="40"/>
      <c r="D31" s="58"/>
      <c r="E31" s="29" t="s">
        <v>18</v>
      </c>
      <c r="F31" s="36">
        <f>F30*9/100</f>
        <v>518.4</v>
      </c>
    </row>
    <row r="32" spans="1:27" ht="15" thickBot="1" x14ac:dyDescent="0.35">
      <c r="A32" s="5" t="s">
        <v>97</v>
      </c>
      <c r="B32" s="40"/>
      <c r="C32" s="40"/>
      <c r="D32" s="58"/>
      <c r="E32" s="28" t="s">
        <v>22</v>
      </c>
      <c r="F32" s="36">
        <f>F30*9/100</f>
        <v>518.4</v>
      </c>
    </row>
    <row r="33" spans="1:6" ht="16.2" thickBot="1" x14ac:dyDescent="0.35">
      <c r="A33" s="7" t="s">
        <v>98</v>
      </c>
      <c r="B33" s="3"/>
      <c r="C33" s="3"/>
      <c r="D33" s="59"/>
      <c r="E33" s="30" t="s">
        <v>19</v>
      </c>
      <c r="F33" s="35">
        <f>F30+F31+F32</f>
        <v>6796.7999999999993</v>
      </c>
    </row>
    <row r="34" spans="1:6" ht="15" thickBot="1" x14ac:dyDescent="0.35">
      <c r="A34" s="73" t="str">
        <f>SpellNumber(F33)</f>
        <v xml:space="preserve">Rupees Six Thousand Seven Hundred NinetySix Paise Eighty Only </v>
      </c>
      <c r="B34" s="74"/>
      <c r="C34" s="74"/>
      <c r="D34" s="74"/>
      <c r="E34" s="74"/>
      <c r="F34" s="75"/>
    </row>
  </sheetData>
  <mergeCells count="13">
    <mergeCell ref="L12:N12"/>
    <mergeCell ref="A13:F13"/>
    <mergeCell ref="A1:F1"/>
    <mergeCell ref="A2:F2"/>
    <mergeCell ref="A3:F3"/>
    <mergeCell ref="A4:F4"/>
    <mergeCell ref="A6:D6"/>
    <mergeCell ref="A7:D7"/>
    <mergeCell ref="A34:F34"/>
    <mergeCell ref="A8:D8"/>
    <mergeCell ref="A9:D9"/>
    <mergeCell ref="A10:D10"/>
    <mergeCell ref="A11:D11"/>
  </mergeCells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41</vt:i4>
      </vt:variant>
    </vt:vector>
  </HeadingPairs>
  <TitlesOfParts>
    <vt:vector size="88" baseType="lpstr">
      <vt:lpstr>ADVAITA</vt:lpstr>
      <vt:lpstr>VARUN</vt:lpstr>
      <vt:lpstr>SHANKARLINGA</vt:lpstr>
      <vt:lpstr>SS BHARAT</vt:lpstr>
      <vt:lpstr>SVS AGENCY</vt:lpstr>
      <vt:lpstr>VINAYAKA BHARATGAS </vt:lpstr>
      <vt:lpstr>Sheet1</vt:lpstr>
      <vt:lpstr>BHOOMI BHARAT GAS </vt:lpstr>
      <vt:lpstr>KEERTHI BHARAT GAS </vt:lpstr>
      <vt:lpstr>MANAV ENTERPRISES </vt:lpstr>
      <vt:lpstr>GRE</vt:lpstr>
      <vt:lpstr>VENKATADRI</vt:lpstr>
      <vt:lpstr>UNITED</vt:lpstr>
      <vt:lpstr>BHAGYALAKSHMI </vt:lpstr>
      <vt:lpstr>SAIMANGALA</vt:lpstr>
      <vt:lpstr>MADAM</vt:lpstr>
      <vt:lpstr>VIJAY BG </vt:lpstr>
      <vt:lpstr>REVATHI BG </vt:lpstr>
      <vt:lpstr>ANMOL</vt:lpstr>
      <vt:lpstr>N M BHARATGAS</vt:lpstr>
      <vt:lpstr>SHREE RAKSHA </vt:lpstr>
      <vt:lpstr>PRATEEK</vt:lpstr>
      <vt:lpstr>MANJUNATHA </vt:lpstr>
      <vt:lpstr>SREE BALAJI</vt:lpstr>
      <vt:lpstr>JANA BHARATGAS</vt:lpstr>
      <vt:lpstr>LVN BG </vt:lpstr>
      <vt:lpstr>LAVANYA BG </vt:lpstr>
      <vt:lpstr>PAVANSUTHA HAREKRISHNA</vt:lpstr>
      <vt:lpstr>NIMISHAMBA </vt:lpstr>
      <vt:lpstr>MAYURA</vt:lpstr>
      <vt:lpstr>MAHALASA</vt:lpstr>
      <vt:lpstr>ANUGRAHA </vt:lpstr>
      <vt:lpstr>ROHAN GAS </vt:lpstr>
      <vt:lpstr>SURABHI BG </vt:lpstr>
      <vt:lpstr>SHRAVAN GAS</vt:lpstr>
      <vt:lpstr>PADMASHREE BG </vt:lpstr>
      <vt:lpstr>BANGALORE GAS </vt:lpstr>
      <vt:lpstr>SAI SRI BG </vt:lpstr>
      <vt:lpstr>KCN BG </vt:lpstr>
      <vt:lpstr>ISHA B G</vt:lpstr>
      <vt:lpstr>MAHALAKSHMI BG </vt:lpstr>
      <vt:lpstr>S V AGENCY </vt:lpstr>
      <vt:lpstr>KBN ND </vt:lpstr>
      <vt:lpstr>MSD </vt:lpstr>
      <vt:lpstr>SRUSHTI</vt:lpstr>
      <vt:lpstr>M D BHARATGAS</vt:lpstr>
      <vt:lpstr>VAMTR</vt:lpstr>
      <vt:lpstr>ADVAITA!Print_Area</vt:lpstr>
      <vt:lpstr>ANMOL!Print_Area</vt:lpstr>
      <vt:lpstr>'ANUGRAHA '!Print_Area</vt:lpstr>
      <vt:lpstr>'BANGALORE GAS '!Print_Area</vt:lpstr>
      <vt:lpstr>'BHAGYALAKSHMI '!Print_Area</vt:lpstr>
      <vt:lpstr>'BHOOMI BHARAT GAS '!Print_Area</vt:lpstr>
      <vt:lpstr>'ISHA B G'!Print_Area</vt:lpstr>
      <vt:lpstr>'JANA BHARATGAS'!Print_Area</vt:lpstr>
      <vt:lpstr>'KBN ND '!Print_Area</vt:lpstr>
      <vt:lpstr>'KCN BG '!Print_Area</vt:lpstr>
      <vt:lpstr>'KEERTHI BHARAT GAS '!Print_Area</vt:lpstr>
      <vt:lpstr>'LAVANYA BG '!Print_Area</vt:lpstr>
      <vt:lpstr>'LVN BG '!Print_Area</vt:lpstr>
      <vt:lpstr>'M D BHARATGAS'!Print_Area</vt:lpstr>
      <vt:lpstr>'MAHALAKSHMI BG '!Print_Area</vt:lpstr>
      <vt:lpstr>MAHALASA!Print_Area</vt:lpstr>
      <vt:lpstr>'MANAV ENTERPRISES '!Print_Area</vt:lpstr>
      <vt:lpstr>'MANJUNATHA '!Print_Area</vt:lpstr>
      <vt:lpstr>MAYURA!Print_Area</vt:lpstr>
      <vt:lpstr>'MSD '!Print_Area</vt:lpstr>
      <vt:lpstr>'N M BHARATGAS'!Print_Area</vt:lpstr>
      <vt:lpstr>'NIMISHAMBA '!Print_Area</vt:lpstr>
      <vt:lpstr>'PAVANSUTHA HAREKRISHNA'!Print_Area</vt:lpstr>
      <vt:lpstr>PRATEEK!Print_Area</vt:lpstr>
      <vt:lpstr>'REVATHI BG '!Print_Area</vt:lpstr>
      <vt:lpstr>'ROHAN GAS '!Print_Area</vt:lpstr>
      <vt:lpstr>'S V AGENCY '!Print_Area</vt:lpstr>
      <vt:lpstr>'SAI SRI BG '!Print_Area</vt:lpstr>
      <vt:lpstr>SHANKARLINGA!Print_Area</vt:lpstr>
      <vt:lpstr>'SHRAVAN GAS'!Print_Area</vt:lpstr>
      <vt:lpstr>'SHREE RAKSHA '!Print_Area</vt:lpstr>
      <vt:lpstr>'SREE BALAJI'!Print_Area</vt:lpstr>
      <vt:lpstr>SRUSHTI!Print_Area</vt:lpstr>
      <vt:lpstr>'SS BHARAT'!Print_Area</vt:lpstr>
      <vt:lpstr>'SURABHI BG '!Print_Area</vt:lpstr>
      <vt:lpstr>'SVS AGENCY'!Print_Area</vt:lpstr>
      <vt:lpstr>VAMTR!Print_Area</vt:lpstr>
      <vt:lpstr>VARUN!Print_Area</vt:lpstr>
      <vt:lpstr>VENKATADRI!Print_Area</vt:lpstr>
      <vt:lpstr>'VIJAY BG '!Print_Area</vt:lpstr>
      <vt:lpstr>'VINAYAKA BHARATGAS 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2026-08-04T18:37:02Z</dcterms:modified>
</cp:coreProperties>
</file>